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5.DOKA/"/>
    </mc:Choice>
  </mc:AlternateContent>
  <xr:revisionPtr revIDLastSave="437" documentId="13_ncr:1_{CE6B7048-0A0D-496E-A170-53A99060326C}" xr6:coauthVersionLast="47" xr6:coauthVersionMax="47" xr10:uidLastSave="{6BFBBD71-A431-4979-9B9B-27B645A6A845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4" i="1" l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24" i="1"/>
  <c r="A111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0" i="1"/>
  <c r="A109" i="1"/>
  <c r="A108" i="1"/>
  <c r="A107" i="1"/>
  <c r="A106" i="1"/>
  <c r="A105" i="1"/>
  <c r="A104" i="1"/>
  <c r="A103" i="1"/>
  <c r="A102" i="1"/>
  <c r="A101" i="1"/>
  <c r="A100" i="1"/>
  <c r="A18" i="1"/>
  <c r="AB17" i="1"/>
  <c r="V17" i="1"/>
  <c r="A17" i="1"/>
  <c r="A21" i="1"/>
  <c r="A22" i="1"/>
  <c r="A20" i="1"/>
  <c r="A23" i="1"/>
  <c r="A98" i="1" l="1"/>
  <c r="A30" i="1"/>
  <c r="A29" i="1"/>
  <c r="A28" i="1"/>
  <c r="A27" i="1"/>
  <c r="A26" i="1"/>
  <c r="A99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6" i="1"/>
  <c r="A75" i="1"/>
  <c r="A71" i="1"/>
  <c r="A72" i="1"/>
  <c r="A73" i="1"/>
  <c r="A74" i="1"/>
  <c r="A77" i="1"/>
  <c r="A78" i="1"/>
  <c r="A79" i="1"/>
  <c r="A80" i="1" l="1"/>
  <c r="A19" i="1"/>
  <c r="A24" i="1"/>
  <c r="A25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<sst xmlns="http://schemas.openxmlformats.org/spreadsheetml/2006/main" count="9962" uniqueCount="2180">
  <si>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</si>
  <si>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</si>
  <si>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</si>
  <si>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</si>
  <si>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</si>
  <si>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</si>
  <si>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</si>
  <si>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</si>
  <si>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Structural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</si>
  <si>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</si>
  <si>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</si>
  <si>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</si>
  <si>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</si>
  <si>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</si>
  <si>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</si>
  <si>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</si>
  <si>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</si>
  <si>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</si>
  <si>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</si>
  <si>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</si>
  <si>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</si>
  <si>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</si>
  <si>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</si>
  <si>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</si>
  <si>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</si>
  <si>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</si>
  <si>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</si>
  <si>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</si>
  <si>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</si>
  <si>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</si>
  <si>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</si>
  <si>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</si>
  <si>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</si>
  <si>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</si>
  <si>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</si>
  <si>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</si>
  <si>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</si>
  <si>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</si>
  <si>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</si>
  <si>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</si>
  <si>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</si>
  <si>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</si>
  <si>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</si>
  <si>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</si>
  <si>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</si>
  <si>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</si>
  <si>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</si>
  <si>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</si>
  <si>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</si>
  <si>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</si>
  <si>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</si>
  <si>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</si>
  <si>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</si>
  <si>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</si>
  <si>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</si>
  <si>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</si>
  <si>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</si>
  <si>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</si>
  <si>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</si>
  <si>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</si>
  <si>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</si>
  <si>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</si>
  <si>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</si>
  <si>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</si>
  <si>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</si>
  <si>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</si>
  <si>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</si>
  <si>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</si>
  <si>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BLADE 01 - FOUNDATION FORMWORK FRAMI SYSTEM PLAN &amp; ELEVATION</t>
  </si>
  <si>
    <t>Revit</t>
  </si>
  <si>
    <t>.dwg,.pdf</t>
  </si>
  <si>
    <t>1:100</t>
  </si>
  <si>
    <t>QP.E.CV.MBL.GEN.3060</t>
  </si>
  <si>
    <t>FI_60_25</t>
  </si>
  <si>
    <t>QF01012</t>
  </si>
  <si>
    <t>NES</t>
  </si>
  <si>
    <t>C04518</t>
  </si>
  <si>
    <t>SDW</t>
  </si>
  <si>
    <t>FWR</t>
  </si>
  <si>
    <t>BLAD01</t>
  </si>
  <si>
    <t>ZZ</t>
  </si>
  <si>
    <t>0059</t>
  </si>
  <si>
    <t>DOKA</t>
  </si>
  <si>
    <t>LOD400</t>
  </si>
  <si>
    <t>BLADE 02 - FOUNDATION FORMWORK FRAMI SYSTEM PLAN &amp; ELEVATION</t>
  </si>
  <si>
    <t>BLAD02</t>
  </si>
  <si>
    <t>0060</t>
  </si>
  <si>
    <t>PLCF-01-FOUNDATION FORMWORK</t>
  </si>
  <si>
    <t>Z00000</t>
  </si>
  <si>
    <t>0001</t>
  </si>
  <si>
    <t>Blade 05 Perlpheral Wall Formwork Top 50 + Spindle System for Supporting</t>
  </si>
  <si>
    <t>BLAD05</t>
  </si>
  <si>
    <t>0054</t>
  </si>
  <si>
    <t>Blade 04- Perlpheral Wall Formwork Top 50 + Splndle System for Supporting</t>
  </si>
  <si>
    <t>BLAD04</t>
  </si>
  <si>
    <t>0057</t>
  </si>
  <si>
    <t>Blade 05 Column Formwork Framed Formwork - Frami Xlife</t>
  </si>
  <si>
    <t>0055</t>
  </si>
  <si>
    <t>Folded raft - Wall formwork - Frami system</t>
  </si>
  <si>
    <t>B2</t>
  </si>
  <si>
    <t>0053</t>
  </si>
  <si>
    <t>PLCF-02-FOUNDATION FORMWORK</t>
  </si>
  <si>
    <t>0002</t>
  </si>
  <si>
    <t>PLCF-03-FOUNDATION FORMWORK</t>
  </si>
  <si>
    <t>0003</t>
  </si>
  <si>
    <t>Core wall Formwork - CW-04 - Without steel panel-B 01 Level to L01 Level</t>
  </si>
  <si>
    <t>B1</t>
  </si>
  <si>
    <t>0046</t>
  </si>
  <si>
    <t>Core wall Formwork - CW-04 - Without steel panel-B 01 Level to L01 Level-Typical WS 10 Platform arrangement</t>
  </si>
  <si>
    <t>0048</t>
  </si>
  <si>
    <t>Core wall Formwork - CW-04 - Without steel panel- B 01 to L01 Level- Typical section C-C &amp; D-D</t>
  </si>
  <si>
    <t>0049</t>
  </si>
  <si>
    <t>Core wall Formwork - CW-04 - Without steel panel-Foundation to B 01 Level</t>
  </si>
  <si>
    <t>0045</t>
  </si>
  <si>
    <t>Core wall Formwork - CW-04 - Without steel panel-B 01 Level to L01 Level-WS10 Platform Arrangement</t>
  </si>
  <si>
    <t>0047</t>
  </si>
  <si>
    <t>FOUNDATION FORMWORK-H=1.50m</t>
  </si>
  <si>
    <t>0004</t>
  </si>
  <si>
    <t>STRAIGHT WALL FOUNDATION , H=1.50m</t>
  </si>
  <si>
    <t>0005</t>
  </si>
  <si>
    <t>STRAIGHT  RETAINING WALL ,L=30m, H=6.0m</t>
  </si>
  <si>
    <t>0006</t>
  </si>
  <si>
    <t>TANK WALL FORTMWORK</t>
  </si>
  <si>
    <t>0007</t>
  </si>
  <si>
    <t>CURVED FOUNDATION FORMWORK</t>
  </si>
  <si>
    <t>0008</t>
  </si>
  <si>
    <t>CURVED WALL FORMWORK</t>
  </si>
  <si>
    <t>0009</t>
  </si>
  <si>
    <t>COLUMN FORMWORK</t>
  </si>
  <si>
    <t>0010</t>
  </si>
  <si>
    <t>WATER TANK SUPPORT PLATFORM</t>
  </si>
  <si>
    <t>0011</t>
  </si>
  <si>
    <t xml:space="preserve">SOMIKING SHELTER </t>
  </si>
  <si>
    <t>0012</t>
  </si>
  <si>
    <t xml:space="preserve">RESTING SHELTER </t>
  </si>
  <si>
    <t>0013</t>
  </si>
  <si>
    <t>STAIR CASE SCAFFOLD</t>
  </si>
  <si>
    <t>0014</t>
  </si>
  <si>
    <t>TOWER CRANE FOUNDATION FORMWORK</t>
  </si>
  <si>
    <t>0015</t>
  </si>
  <si>
    <t>FOUNDATION FORMWORK</t>
  </si>
  <si>
    <t>NTS</t>
  </si>
  <si>
    <t>FI_40_10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</si>
  <si>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</si>
  <si>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</si>
  <si>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</si>
  <si>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</si>
  <si>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</si>
  <si>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</si>
  <si>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</si>
  <si>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</si>
  <si>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</si>
  <si>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</si>
  <si>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</si>
  <si>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</si>
  <si>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</si>
  <si>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</si>
  <si>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</si>
  <si>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</si>
  <si>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</si>
  <si>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</si>
  <si>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</si>
  <si>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</si>
  <si>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</si>
  <si>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0038</t>
  </si>
  <si>
    <t>0039</t>
  </si>
  <si>
    <t>0040</t>
  </si>
  <si>
    <t>0041</t>
  </si>
  <si>
    <t>0042</t>
  </si>
  <si>
    <t>0043</t>
  </si>
  <si>
    <t>0044</t>
  </si>
  <si>
    <t>BLADE 05 - FOUNDATION FRAMED FORMWORK -FRAMI SYSTEM</t>
  </si>
  <si>
    <t>BLADE 03 - FOUNDATION FORMWORK TOP 50 SYSTEM PLAN &amp; SECTION DETAILS</t>
  </si>
  <si>
    <t>BLAD03</t>
  </si>
  <si>
    <t>CORE / SHEAR WALL AT LEVEL B2-BL WITH STEEL PANEL - SW2</t>
  </si>
  <si>
    <t>CORE / SHEAR WALL AT LEVEL B2-BL WITH STEEL PANEL - SW1</t>
  </si>
  <si>
    <t>CORE / SHEAR WALL AT LEVEL B2-BL WITH STEEL PANEL - SW3</t>
  </si>
  <si>
    <t>CORE / SHEAR WALL AT LEVEL B2-BL WITH STEEL PANEL - SW4</t>
  </si>
  <si>
    <t>CORE / SHEAR WALL AT LEVEL B1-L2 WITH STEEL PANEL - SW2</t>
  </si>
  <si>
    <t>Foundation for Core Wall CW-02 Framed Formwork – Frami System</t>
  </si>
  <si>
    <t>B3</t>
  </si>
  <si>
    <t>CORE / SHEAR WALL AT LEVEL B3-B2 WITH STEEL PANEL -Part 01</t>
  </si>
  <si>
    <t>CORE / SHEAR WALL AT LEVEL B3-B2 WITH STEEL PANEL - SW3</t>
  </si>
  <si>
    <t>Core wall Formwork - CW-01 - WS10 Platform - Basement 01 to L01</t>
  </si>
  <si>
    <t>2</t>
  </si>
  <si>
    <t>Core wall Formwork - CW-01 - Basement 02 to Level 01</t>
  </si>
  <si>
    <t>Core wall Formwork - CW-01 - Basement 02 to Level 02</t>
  </si>
  <si>
    <t>Core wall Formwork - CW-01 - WS10 Platform - Basement 02 to Basement 01</t>
  </si>
  <si>
    <t>Core wall Formwork - CW-02 - Without steel panel - Top 50 Panel Arrangements</t>
  </si>
  <si>
    <t>Core wall Formwork - CW-02 - Without steel panel - Anchor Locations Layout</t>
  </si>
  <si>
    <t>Core wall Formwork - CW-02 - Without steel panel - WS10 Platform - Basement 02 to Basement 01</t>
  </si>
  <si>
    <t>0037</t>
  </si>
  <si>
    <t>Core wall Formwork - CW-02 - Without steel panel - WS10 Platform - Basement 01 to Level 01</t>
  </si>
  <si>
    <t>Core wall Formwork - CW-02 - Without steel panel - Section Details A,B&amp;C (Basement-2 to Level 01)</t>
  </si>
  <si>
    <t>Core wall Formwork - CW-03 - Without steel panel - Top 50 Panel Arrangements</t>
  </si>
  <si>
    <t>Core wall Formwork - CW-03 - Without steel panel - Anchor Locations For WS10 Suspended Platform</t>
  </si>
  <si>
    <t>Core wall Formwork - CW-03 - Without steel panel - WS10 Platform - Basement 2 to Level 01</t>
  </si>
  <si>
    <t>Core wall Formwork - CW-03 - Without steel panel - Section Details A-A (Basement-2 to Level 01)</t>
  </si>
  <si>
    <t>Core wall Formwork - CW-03 - Without steel panel - Section Details B-B (Basement-2 to Level 01)</t>
  </si>
  <si>
    <t>CORE 02- B2 SLAB FORMWORK-STATIC CALCULATION</t>
  </si>
  <si>
    <t>CAL</t>
  </si>
  <si>
    <t>0</t>
  </si>
  <si>
    <t>010</t>
  </si>
  <si>
    <t>CENT01</t>
  </si>
  <si>
    <t>0051</t>
  </si>
  <si>
    <t>CORE 02- B2 SLAB FORMWORK</t>
  </si>
  <si>
    <t>0050</t>
  </si>
  <si>
    <t>STRUCTURAL ANALYSIS-FOUNDATION FORMWORK- FRAMI XLIFE SYSTEM</t>
  </si>
  <si>
    <t> </t>
  </si>
  <si>
    <t>ANL</t>
  </si>
  <si>
    <t>001</t>
  </si>
  <si>
    <t>STRUCTURAL ANALYSIS-STRAIGHT RETAINING WALL FORMWORK- FRAMI XLIFE SYSTEM</t>
  </si>
  <si>
    <t>002</t>
  </si>
  <si>
    <t>STRUCTURAL ANALYSIS-TANK WALL FORMWORK-- FRAMI XLIFE SYSTEM</t>
  </si>
  <si>
    <t>003</t>
  </si>
  <si>
    <t>STRUCTURAL ANALYSIS-CURVED WALL FORMWORK-TOP50 SYSTEM</t>
  </si>
  <si>
    <t>004</t>
  </si>
  <si>
    <t>Structural Analysis-Blade 05 –Foundation Formwork</t>
  </si>
  <si>
    <t>005</t>
  </si>
  <si>
    <t>Structural Analysis-Blade 03 –Foundation Formwork TOP-50</t>
  </si>
  <si>
    <t>006</t>
  </si>
  <si>
    <t>CALCULATION-WATER TANK SUPPORT PLATFORM</t>
  </si>
  <si>
    <t>CALCULATION-STAIR CASE SCAFFOLD</t>
  </si>
  <si>
    <t>CALCULATION-RESTING SHELTER</t>
  </si>
  <si>
    <t>CALCULATION-SMOKING SHELTER</t>
  </si>
  <si>
    <t>Statical Calculation for Vertical Elements. Handset Alpha Columns Formwork –6.00m</t>
  </si>
  <si>
    <t>BLADE 01 - VERTICAL WALL - SINGLE AND DOUBLE SIDED PLAN &amp; SECTION DETAILS</t>
  </si>
  <si>
    <t>0074</t>
  </si>
  <si>
    <t>BLADE 03 - TEMPORARY TOWERS LOWER FOUNDATION FORMWORK FRAMI SYSTEM</t>
  </si>
  <si>
    <t>0071</t>
  </si>
  <si>
    <t>BLADE 03 - TEMPORARY TOWERS MIDDLE FOUNDATION FORMWORK FRAMI SYSTEM</t>
  </si>
  <si>
    <t>0072</t>
  </si>
  <si>
    <t>BLADE 03 - TEMPORARY TOWERS UPPER FOUNDATION FORMWORK FRAMI SYSTEM</t>
  </si>
  <si>
    <t>0073</t>
  </si>
  <si>
    <t>BLADE 04 - TEMPORARY TOWERS LOWER FOUNDATION FORMWORK FRAMI SYSTEM</t>
  </si>
  <si>
    <t>0069</t>
  </si>
  <si>
    <t>BLADE 04 - TEMPORARY TOWERS UPPER FOUNDATION FORMWORK FRAMI SYSTEM</t>
  </si>
  <si>
    <t>0070</t>
  </si>
  <si>
    <t>B1 Level Slab Formwork - Sheet 1 of 3 Loading Bearing Tower D3 System</t>
  </si>
  <si>
    <t>0061</t>
  </si>
  <si>
    <t>B1 Level Slab Formwork - Sheet 2 of 3 Loading Bearing Tower D3 System</t>
  </si>
  <si>
    <t>0062</t>
  </si>
  <si>
    <t>B1 Level Slab Formwork - Sheet 3 of 3 Loading Bearing Tower D3 System</t>
  </si>
  <si>
    <t>0063</t>
  </si>
  <si>
    <t>B1 Level Slab Formwork - Sheet 1 of 3 Cast 2 Loading Bearing Tower D3 System</t>
  </si>
  <si>
    <t>0064</t>
  </si>
  <si>
    <t>B1 Level Slab Formwork - Sheet 2 of 3 Cast 2 Loading Bearing Tower D3 System</t>
  </si>
  <si>
    <t>0065</t>
  </si>
  <si>
    <t>B1 Level Slab Formwork - Sheet 3 of 3 Cast 2 Loading Bearing Tower D3 System</t>
  </si>
  <si>
    <t>0066</t>
  </si>
  <si>
    <t>Tank Slab at Blade 5</t>
  </si>
  <si>
    <t>1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</si>
  <si>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</si>
  <si>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</si>
  <si>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</si>
  <si>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</si>
  <si>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</si>
  <si>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</si>
  <si>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</si>
  <si>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</si>
  <si>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</si>
  <si>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</si>
  <si>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</si>
  <si>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</si>
  <si>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</si>
  <si>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</si>
  <si>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</si>
  <si>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</si>
  <si>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</si>
  <si>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</si>
  <si>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</si>
  <si>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</si>
  <si>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</si>
  <si>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</si>
  <si>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</si>
  <si>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</si>
  <si>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</si>
  <si>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</si>
  <si>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</si>
  <si>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</si>
  <si>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</si>
  <si>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</si>
  <si>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</si>
  <si>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</si>
  <si>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</si>
  <si>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</t>
  </si>
  <si>
    <t>QP.E.CV.MBL.GEN.3460</t>
  </si>
  <si>
    <t>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</si>
  <si>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</si>
  <si>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</si>
  <si>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</si>
  <si>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</si>
  <si>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</si>
  <si>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</si>
  <si>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25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</si>
  <si>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</si>
  <si>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</si>
  <si>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</si>
  <si>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</si>
  <si>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</si>
  <si>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</si>
  <si>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</si>
  <si>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</si>
  <si>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</si>
  <si>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</si>
  <si>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</si>
  <si>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</si>
  <si>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</si>
  <si>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</si>
  <si>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</si>
  <si>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</si>
  <si>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</si>
  <si>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</si>
  <si>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</si>
  <si>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</si>
  <si>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</si>
  <si>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</si>
  <si>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</si>
  <si>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</si>
  <si>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</si>
  <si>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</si>
  <si>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</si>
  <si>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</si>
  <si>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</si>
  <si>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</si>
  <si>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</si>
  <si>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</si>
  <si>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</si>
  <si>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</si>
  <si>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</si>
  <si>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</si>
  <si>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</si>
  <si>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</si>
  <si>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</si>
  <si>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</si>
  <si>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</si>
  <si>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</si>
  <si>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</si>
  <si>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</si>
  <si>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</si>
  <si>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</si>
  <si>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</si>
  <si>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</si>
  <si>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</si>
  <si>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</si>
  <si>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</si>
  <si>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</si>
  <si>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</si>
  <si>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</si>
  <si>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</si>
  <si>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</si>
  <si>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</si>
  <si>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</si>
  <si>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</si>
  <si>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</si>
  <si>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</si>
  <si>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</si>
  <si>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</si>
  <si>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</si>
  <si>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</si>
  <si>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</si>
  <si>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</si>
  <si>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</si>
  <si>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</si>
  <si>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</si>
  <si>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</si>
  <si>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</si>
  <si>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</si>
  <si>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</si>
  <si>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</si>
  <si>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</si>
  <si>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</si>
  <si>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</si>
  <si>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</si>
  <si>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</si>
  <si>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</si>
  <si>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</si>
  <si>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</si>
  <si>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</si>
  <si>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</si>
  <si>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</si>
  <si>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</si>
  <si>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</si>
  <si>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</si>
  <si>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</si>
  <si>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</si>
  <si>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</si>
  <si>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</si>
  <si>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</si>
  <si>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</si>
  <si>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</si>
  <si>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</si>
  <si>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</si>
  <si>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</t>
  </si>
  <si>
    <t>QP.E.CV.BL1.GEN.1040</t>
  </si>
  <si>
    <t>Retaining Wall</t>
  </si>
  <si>
    <t>QP.E.CV.BL1.GEN.1080</t>
  </si>
  <si>
    <t>18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</si>
  <si>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</si>
  <si>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</si>
  <si>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</si>
  <si>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</si>
  <si>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</si>
  <si>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</si>
  <si>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</si>
  <si>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</si>
  <si>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</si>
  <si>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</si>
  <si>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</si>
  <si>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</si>
  <si>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</si>
  <si>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</si>
  <si>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</si>
  <si>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</si>
  <si>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</si>
  <si>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</si>
  <si>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</si>
  <si>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</si>
  <si>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</si>
  <si>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</si>
  <si>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</si>
  <si>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</si>
  <si>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</si>
  <si>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</si>
  <si>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</si>
  <si>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</si>
  <si>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</si>
  <si>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</si>
  <si>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</si>
  <si>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</si>
  <si>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</si>
  <si>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</si>
  <si>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</si>
  <si>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</si>
  <si>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</si>
  <si>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</si>
  <si>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Shop Drawings | Concrete | Parking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</si>
  <si>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</si>
  <si>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</si>
  <si>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</si>
  <si>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</si>
  <si>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</si>
  <si>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</si>
  <si>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</si>
  <si>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</si>
  <si>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</si>
  <si>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</si>
  <si>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</si>
  <si>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</si>
  <si>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</si>
  <si>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</si>
  <si>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</si>
  <si>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</si>
  <si>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</si>
  <si>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</si>
  <si>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</si>
  <si>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</si>
  <si>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</si>
  <si>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</si>
  <si>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</si>
  <si>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</si>
  <si>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</si>
  <si>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</si>
  <si>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</si>
  <si>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</si>
  <si>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</si>
  <si>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</si>
  <si>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</si>
  <si>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</si>
  <si>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</si>
  <si>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</si>
  <si>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</si>
  <si>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</si>
  <si>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</si>
  <si>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</si>
  <si>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</si>
  <si>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</si>
  <si>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</si>
  <si>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</si>
  <si>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</si>
  <si>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</si>
  <si>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</si>
  <si>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</si>
  <si>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</si>
  <si>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</si>
  <si>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</si>
  <si>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</si>
  <si>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</si>
  <si>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</si>
  <si>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</si>
  <si>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</si>
  <si>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</si>
  <si>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</si>
  <si>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</si>
  <si>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</si>
  <si>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</si>
  <si>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</si>
  <si>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</si>
  <si>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</si>
  <si>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</si>
  <si>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</si>
  <si>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</si>
  <si>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</si>
  <si>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</si>
  <si>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</si>
  <si>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</si>
  <si>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</si>
  <si>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</si>
  <si>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</si>
  <si>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</si>
  <si>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</si>
  <si>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</si>
  <si>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</si>
  <si>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</si>
  <si>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</si>
  <si>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</si>
  <si>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</si>
  <si>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</si>
  <si>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</si>
  <si>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</si>
  <si>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</si>
  <si>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</si>
  <si>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</si>
  <si>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</si>
  <si>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</si>
  <si>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</si>
  <si>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</si>
  <si>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</si>
  <si>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</si>
  <si>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</si>
  <si>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</si>
  <si>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</si>
  <si>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</si>
  <si>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</si>
  <si>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</si>
  <si>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</si>
  <si>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</si>
  <si>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</si>
  <si>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</si>
  <si>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</si>
  <si>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</si>
  <si>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</si>
  <si>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</si>
  <si>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</si>
  <si>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</si>
  <si>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</si>
  <si>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</si>
  <si>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</si>
  <si>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</si>
  <si>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</si>
  <si>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</si>
  <si>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</si>
  <si>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</si>
  <si>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</si>
  <si>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</si>
  <si>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</si>
  <si>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</si>
  <si>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</si>
  <si>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</si>
  <si>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</si>
  <si>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</si>
  <si>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</si>
  <si>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</si>
  <si>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</si>
  <si>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</si>
  <si>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</si>
  <si>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</si>
  <si>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</si>
  <si>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</si>
  <si>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</si>
  <si>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</si>
  <si>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</si>
  <si>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</si>
  <si>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</si>
  <si>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</si>
  <si>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</si>
  <si>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</si>
  <si>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</si>
  <si>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</si>
  <si>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</si>
  <si>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</si>
  <si>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</si>
  <si>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</si>
  <si>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</si>
  <si>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</si>
  <si>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</si>
  <si>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</si>
  <si>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</si>
  <si>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</si>
  <si>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</si>
  <si>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</si>
  <si>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</si>
  <si>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</si>
  <si>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</si>
  <si>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</si>
  <si>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</si>
  <si>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</si>
  <si>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</si>
  <si>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</si>
  <si>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</si>
  <si>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</si>
  <si>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</si>
  <si>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</si>
  <si>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</si>
  <si>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</si>
  <si>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</si>
  <si>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</si>
  <si>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</si>
  <si>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</si>
  <si>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</si>
  <si>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</si>
  <si>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</si>
  <si>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</si>
  <si>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</si>
  <si>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</si>
  <si>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</si>
  <si>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</si>
  <si>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</si>
  <si>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</si>
  <si>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</si>
  <si>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</si>
  <si>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</si>
  <si>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</si>
  <si>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</si>
  <si>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</si>
  <si>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</si>
  <si>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</si>
  <si>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</si>
  <si>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</si>
  <si>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</si>
  <si>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</si>
  <si>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</si>
  <si>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</si>
  <si>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</si>
  <si>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</si>
  <si>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</si>
  <si>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</si>
  <si>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</si>
  <si>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</si>
  <si>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</si>
  <si>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</si>
  <si>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</si>
  <si>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</si>
  <si>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</si>
  <si>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</si>
  <si>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</si>
  <si>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</si>
  <si>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</si>
  <si>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</si>
  <si>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</si>
  <si>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</si>
  <si>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</si>
  <si>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</si>
  <si>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</si>
  <si>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</si>
  <si>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</si>
  <si>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</si>
  <si>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</si>
  <si>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</si>
  <si>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</si>
  <si>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</si>
  <si>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</si>
  <si>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</si>
  <si>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</si>
  <si>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</si>
  <si>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</si>
  <si>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</si>
  <si>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</si>
  <si>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</si>
  <si>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</si>
  <si>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</si>
  <si>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</si>
  <si>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</si>
  <si>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</si>
  <si>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</si>
  <si>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</si>
  <si>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</si>
  <si>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</si>
  <si>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</si>
  <si>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</si>
  <si>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</si>
  <si>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</si>
  <si>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</si>
  <si>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</si>
  <si>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</si>
  <si>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</si>
  <si>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</si>
  <si>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</si>
  <si>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</si>
  <si>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</si>
  <si>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</si>
  <si>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</si>
  <si>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</si>
  <si>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</si>
  <si>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</si>
  <si>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</t>
  </si>
  <si>
    <t>QP.E.AF.BL1.GEN.1110</t>
  </si>
  <si>
    <t>QP.E.AF.BL1.GEN.1140</t>
  </si>
  <si>
    <t>QP.E.AF.BL1.GEN.1120</t>
  </si>
  <si>
    <t>BL1 - LEVEL +905.00M to +928.00M</t>
  </si>
  <si>
    <t>Shop Drawings | Architecture and Fitouts | Blades | Blade-1 | 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</si>
  <si>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</si>
  <si>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</si>
  <si>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</si>
  <si>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</si>
  <si>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</si>
  <si>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Shop Drawings | Architecture and Fitouts | Blades | Blade-1 | 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</si>
  <si>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</si>
  <si>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</si>
  <si>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</si>
  <si>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</si>
  <si>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</si>
  <si>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Shop Drawings | Architecture and Fitouts | Blades | Blade-2 | 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</si>
  <si>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</si>
  <si>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</si>
  <si>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</si>
  <si>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</si>
  <si>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</si>
  <si>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Shop Drawings | Architecture and Fitouts | Blades | Blade-2 | BL2 - LEVEL +905.00M to +928.00M</t>
  </si>
  <si>
    <t>QP.E.AF.BL2.GEN.1580</t>
  </si>
  <si>
    <t>QP.E.AF.BL2.GEN.1610</t>
  </si>
  <si>
    <t>QP.E.AF.BL2.GEN.1590</t>
  </si>
  <si>
    <t>BL2 - LEVEL +935.85M to +957.25M</t>
  </si>
  <si>
    <t>Shop Drawings | Architecture and Fitouts | Blades | Blade-2 | 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</si>
  <si>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</si>
  <si>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</si>
  <si>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</si>
  <si>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</si>
  <si>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</si>
  <si>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Shop Drawings | Architecture and Fitouts | Blades | Blade-3 | 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</si>
  <si>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</si>
  <si>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</si>
  <si>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</si>
  <si>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</si>
  <si>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</si>
  <si>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Shop Drawings | Architecture and Fitouts | Blades | Blade-3 | 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</si>
  <si>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</si>
  <si>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</si>
  <si>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</si>
  <si>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</si>
  <si>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</si>
  <si>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Shop Drawings | Architecture and Fitouts | Blades | Blade-4 | 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</si>
  <si>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</si>
  <si>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</si>
  <si>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</si>
  <si>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</si>
  <si>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</si>
  <si>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Shop Drawings | Architecture and Fitouts | Blades | Blade-4 | BL4 - LEVEL +905M to +928M</t>
  </si>
  <si>
    <t>QP.E.AF.BL4.GEN.1820</t>
  </si>
  <si>
    <t>QP.E.AF.BL4.GEN.1850</t>
  </si>
  <si>
    <t>QP.E.AF.BL4.GEN.1830</t>
  </si>
  <si>
    <t>BL4 - LEVEL +935.85M to +975.82M</t>
  </si>
  <si>
    <t>Shop Drawings | Architecture and Fitouts | Blades | Blade-4 | 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</si>
  <si>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</si>
  <si>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</si>
  <si>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</si>
  <si>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</si>
  <si>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</si>
  <si>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Shop Drawings | Architecture and Fitouts | Blades | Blade-5 | BL5 - LEVEL +893.5M to +899.5M</t>
  </si>
  <si>
    <t>QP.E.AF.BL5.GEN.2280</t>
  </si>
  <si>
    <t>QP.E.AF.BL5.GEN.2340</t>
  </si>
  <si>
    <t>QP.E.AF.BL5.GEN.2300</t>
  </si>
  <si>
    <t>BL5 - LEVEL +905.00M to +928.00M</t>
  </si>
  <si>
    <t>Shop Drawings | Architecture and Fitouts | Blades | Blade-5 | BL5 - LEVEL +905.00M to +928.00M</t>
  </si>
  <si>
    <t>QP.E.AF.BL5.GEN.1130</t>
  </si>
  <si>
    <t>QP.E.AF.BL5.GEN.1160</t>
  </si>
  <si>
    <t>QP.E.AF.BL5.GEN.1140</t>
  </si>
  <si>
    <t>BL5 - LEVEL +935.85M to +969.3M</t>
  </si>
  <si>
    <t>Shop Drawings | Architecture and Fitouts | Blades | Blade-5 | 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</si>
  <si>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</si>
  <si>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</si>
  <si>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</si>
  <si>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</si>
  <si>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</si>
  <si>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</si>
  <si>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</si>
  <si>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</si>
  <si>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</si>
  <si>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</si>
  <si>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</si>
  <si>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</si>
  <si>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</si>
  <si>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</si>
  <si>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</si>
  <si>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</si>
  <si>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</si>
  <si>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</si>
  <si>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</si>
  <si>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</si>
  <si>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</si>
  <si>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</si>
  <si>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</si>
  <si>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</si>
  <si>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</si>
  <si>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</si>
  <si>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</si>
  <si>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</si>
  <si>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</si>
  <si>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</si>
  <si>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</si>
  <si>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</si>
  <si>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</si>
  <si>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</si>
  <si>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</si>
  <si>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</si>
  <si>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</si>
  <si>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</si>
  <si>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</si>
  <si>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</si>
  <si>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</si>
  <si>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</si>
  <si>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</si>
  <si>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</si>
  <si>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</si>
  <si>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</si>
  <si>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</si>
  <si>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</si>
  <si>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</si>
  <si>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</si>
  <si>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</si>
  <si>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</si>
  <si>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</si>
  <si>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</si>
  <si>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</si>
  <si>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</si>
  <si>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</si>
  <si>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</si>
  <si>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</si>
  <si>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</si>
  <si>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</si>
  <si>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</si>
  <si>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</si>
  <si>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</si>
  <si>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</si>
  <si>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</si>
  <si>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</si>
  <si>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</si>
  <si>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</si>
  <si>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</si>
  <si>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</si>
  <si>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</si>
  <si>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</si>
  <si>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</si>
  <si>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</si>
  <si>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</si>
  <si>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</si>
  <si>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</si>
  <si>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</si>
  <si>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</si>
  <si>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</si>
  <si>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</si>
  <si>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</si>
  <si>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</si>
  <si>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</si>
  <si>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</si>
  <si>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</si>
  <si>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</si>
  <si>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</si>
  <si>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</si>
  <si>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</si>
  <si>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</si>
  <si>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</si>
  <si>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</si>
  <si>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</si>
  <si>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</si>
  <si>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</si>
  <si>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</si>
  <si>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</si>
  <si>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</si>
  <si>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</si>
  <si>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</si>
  <si>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</si>
  <si>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</si>
  <si>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</si>
  <si>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</si>
  <si>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</si>
  <si>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</si>
  <si>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</si>
  <si>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</si>
  <si>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</si>
  <si>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</si>
  <si>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</si>
  <si>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</si>
  <si>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</si>
  <si>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</si>
  <si>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</si>
  <si>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</t>
  </si>
  <si>
    <t>QP.E.ME.MBL.GEN.6780</t>
  </si>
  <si>
    <t>Electrical</t>
  </si>
  <si>
    <t>QP.E.ME.MBL.GEN.6800</t>
  </si>
  <si>
    <t>Shop Drawings | MEP | Main Building | MEP Early Package and Builder's Work | B2 SERVICE LEVEL +893.50M</t>
  </si>
  <si>
    <t>QP.E.ME.MBL.GEN.6840</t>
  </si>
  <si>
    <t>QP.E.ME.MBL.GEN.6850</t>
  </si>
  <si>
    <t>Shop Drawings | MEP | Main Building | MEP Early Package and Builder's Work | B1 SERVICE LEVEL +900.50M</t>
  </si>
  <si>
    <t>QP.E.ME.MBL.GEN.6860</t>
  </si>
  <si>
    <t>QP.E.ME.MBL.GEN.6870</t>
  </si>
  <si>
    <t>Shop Drawings | MEP | Main Building | MEP Early Package and Builder's Work | L1 LOBBY LEVEL +905.00M</t>
  </si>
  <si>
    <t>QP.E.ME.MBL.GEN.6900</t>
  </si>
  <si>
    <t>QP.E.ME.MBL.GEN.6910</t>
  </si>
  <si>
    <t>Shop Drawings | MEP | Main Building | MEP Early Package and Builder's Work | L1 UPEER LOBBY LEVEL MEZZANINE +909M</t>
  </si>
  <si>
    <t>QP.E.ME.MBL.GEN.6940</t>
  </si>
  <si>
    <t>QP.E.ME.MBL.GEN.6950</t>
  </si>
  <si>
    <t>Shop Drawings | MEP | Main Building | MEP Early Package and Builder's Work | L2 THEATRE STALLS +913M</t>
  </si>
  <si>
    <t>QP.E.ME.MBL.GEN.6980</t>
  </si>
  <si>
    <t>QP.E.ME.MBL.GEN.6990</t>
  </si>
  <si>
    <t>Shop Drawings | MEP | Main Building | MEP Early Package and Builder's Work | L3 STALL MEZZ AND ADAPTIVE THEATRE +917.50M</t>
  </si>
  <si>
    <t>QP.E.ME.MBL.GEN.7020</t>
  </si>
  <si>
    <t>QP.E.ME.MBL.GEN.7030</t>
  </si>
  <si>
    <t>Shop Drawings | MEP | Main Building | MEP Early Package and Builder's Work | L4 FIRST CIRCLE AND ADAPTIVE THEATRE +921.00M</t>
  </si>
  <si>
    <t>QP.E.ME.MBL.GEN.7060</t>
  </si>
  <si>
    <t>QP.E.ME.MBL.GEN.7070</t>
  </si>
  <si>
    <t>Shop Drawings | MEP | Main Building | MEP Early Package and Builder's Work | L5 SECOND CIRCLE AND LOFT +928.00M</t>
  </si>
  <si>
    <t>QP.E.ME.MBL.GEN.7100</t>
  </si>
  <si>
    <t>QP.E.ME.MBL.GEN.7110</t>
  </si>
  <si>
    <t>Shop Drawings | MEP | Main Building | MEP Early Package and Builder's Work | L5 LOFT MEP MEZZANINE +931.70M</t>
  </si>
  <si>
    <t>QP.E.ME.MBL.GEN.7140</t>
  </si>
  <si>
    <t>QP.E.ME.MBL.GEN.7150</t>
  </si>
  <si>
    <t>Shop Drawings | MEP | Main Building | MEP Early Package and Builder's Work | L6 SKY GARDEN +935.85M</t>
  </si>
  <si>
    <t>QP.E.ME.MBL.GEN.7180</t>
  </si>
  <si>
    <t>QP.E.ME.MBL.GEN.7190</t>
  </si>
  <si>
    <t>Shop Drawings | MEP | Main Building | MEP Early Package and Builder's Work | L8 ROYAL MAJLIS +948.28M</t>
  </si>
  <si>
    <t>QP.E.ME.MBL.GEN.7220</t>
  </si>
  <si>
    <t>QP.E.ME.MBL.GEN.7230</t>
  </si>
  <si>
    <t>MEP 1st Deliverables</t>
  </si>
  <si>
    <t>Fire Suppression</t>
  </si>
  <si>
    <t>Shop Drawings | MEP | Main Building | MEP 1st Deliverables | B3 PROMENADE LEVEL +887.750M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</si>
  <si>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</si>
  <si>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</si>
  <si>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</si>
  <si>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</si>
  <si>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</si>
  <si>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</si>
  <si>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</si>
  <si>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</si>
  <si>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</si>
  <si>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Shop Drawings | MEP | Main Building | MEP 1st Deliverables | B2 SERVICE LEVEL +893.50M</t>
  </si>
  <si>
    <t>QP.E.ME.MBL.GEN.1420</t>
  </si>
  <si>
    <t>QP.E.ME.MBL.GEN.1430</t>
  </si>
  <si>
    <t>QP.E.ME.MBL.GEN.1440</t>
  </si>
  <si>
    <t>QP.E.ME.MBL.GEN.1450</t>
  </si>
  <si>
    <t>QP.E.ME.MBL.GEN.1460</t>
  </si>
  <si>
    <t>Shop Drawings | MEP | Main Building | MEP 1st Deliverables | B1 SERVICE LEVEL +900.50M</t>
  </si>
  <si>
    <t>QP.E.ME.MBL.GEN.1740</t>
  </si>
  <si>
    <t>QP.E.ME.MBL.GEN.1750</t>
  </si>
  <si>
    <t>QP.E.ME.MBL.GEN.1760</t>
  </si>
  <si>
    <t>QP.E.ME.MBL.GEN.1770</t>
  </si>
  <si>
    <t>QP.E.ME.MBL.GEN.1780</t>
  </si>
  <si>
    <t>Shop Drawings | MEP | Main Building | MEP 1st Deliverables | L1 LOBBY LEVEL +905.00M</t>
  </si>
  <si>
    <t>QP.E.ME.MBL.GEN.1590</t>
  </si>
  <si>
    <t>QP.E.ME.MBL.GEN.1600</t>
  </si>
  <si>
    <t>QP.E.ME.MBL.GEN.1610</t>
  </si>
  <si>
    <t>QP.E.ME.MBL.GEN.1620</t>
  </si>
  <si>
    <t>QP.E.ME.MBL.GEN.1630</t>
  </si>
  <si>
    <t>Shop Drawings | MEP | Main Building | MEP 1st Deliverables | L1 UPEER LOBBY LEVEL MEZZANINE +909M</t>
  </si>
  <si>
    <t>QP.E.ME.MBL.GEN.2040</t>
  </si>
  <si>
    <t>QP.E.ME.MBL.GEN.2050</t>
  </si>
  <si>
    <t>QP.E.ME.MBL.GEN.2060</t>
  </si>
  <si>
    <t>QP.E.ME.MBL.GEN.2070</t>
  </si>
  <si>
    <t>QP.E.ME.MBL.GEN.2080</t>
  </si>
  <si>
    <t>Shop Drawings | MEP | Main Building | MEP 1st Deliverables | L2 THEATRE STALLS +913M</t>
  </si>
  <si>
    <t>QP.E.ME.MBL.GEN.2240</t>
  </si>
  <si>
    <t>QP.E.ME.MBL.GEN.2250</t>
  </si>
  <si>
    <t>QP.E.ME.MBL.GEN.2260</t>
  </si>
  <si>
    <t>QP.E.ME.MBL.GEN.2270</t>
  </si>
  <si>
    <t>QP.E.ME.MBL.GEN.2280</t>
  </si>
  <si>
    <t>Shop Drawings | MEP | Main Building | MEP 1st Deliverables | L3 STALL MEZZ AND ADAPTIVE THEATRE +917.50M</t>
  </si>
  <si>
    <t>QP.E.ME.MBL.GEN.2440</t>
  </si>
  <si>
    <t>QP.E.ME.MBL.GEN.2450</t>
  </si>
  <si>
    <t>QP.E.ME.MBL.GEN.2460</t>
  </si>
  <si>
    <t>QP.E.ME.MBL.GEN.2470</t>
  </si>
  <si>
    <t>QP.E.ME.MBL.GEN.2480</t>
  </si>
  <si>
    <t>Shop Drawings | MEP | Main Building | MEP 1st Deliverables | L4 FIRST CIRCLE AND ADAPTIVE THEATRE +921.00M</t>
  </si>
  <si>
    <t>QP.E.ME.MBL.GEN.2640</t>
  </si>
  <si>
    <t>QP.E.ME.MBL.GEN.2650</t>
  </si>
  <si>
    <t>QP.E.ME.MBL.GEN.2660</t>
  </si>
  <si>
    <t>QP.E.ME.MBL.GEN.2670</t>
  </si>
  <si>
    <t>QP.E.ME.MBL.GEN.2680</t>
  </si>
  <si>
    <t>Shop Drawings | MEP | Main Building | MEP 1st Deliverables | L5 SECOND CIRCLE AND LOFT +928.00M</t>
  </si>
  <si>
    <t>QP.E.ME.MBL.GEN.2850</t>
  </si>
  <si>
    <t>QP.E.ME.MBL.GEN.2860</t>
  </si>
  <si>
    <t>QP.E.ME.MBL.GEN.2870</t>
  </si>
  <si>
    <t>QP.E.ME.MBL.GEN.2880</t>
  </si>
  <si>
    <t>QP.E.ME.MBL.GEN.2890</t>
  </si>
  <si>
    <t>Shop Drawings | MEP | Main Building | MEP 1st Deliverables | L5 LOFT MEP MEZZANINE +931.70M</t>
  </si>
  <si>
    <t>QP.E.ME.MBL.GEN.3070</t>
  </si>
  <si>
    <t>QP.E.ME.MBL.GEN.3080</t>
  </si>
  <si>
    <t>QP.E.ME.MBL.GEN.3090</t>
  </si>
  <si>
    <t>QP.E.ME.MBL.GEN.3100</t>
  </si>
  <si>
    <t>QP.E.ME.MBL.GEN.3110</t>
  </si>
  <si>
    <t>Shop Drawings | MEP | Main Building | MEP 1st Deliverables | L6 SKY GARDEN +935.85M</t>
  </si>
  <si>
    <t>QP.E.ME.MBL.GEN.3290</t>
  </si>
  <si>
    <t>QP.E.ME.MBL.GEN.3300</t>
  </si>
  <si>
    <t>QP.E.ME.MBL.GEN.3310</t>
  </si>
  <si>
    <t>QP.E.ME.MBL.GEN.3320</t>
  </si>
  <si>
    <t>QP.E.ME.MBL.GEN.3330</t>
  </si>
  <si>
    <t>Shop Drawings | MEP | Main Building | MEP 1st Deliverables | L8 ROYAL MAJLIS +948.28M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</si>
  <si>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</si>
  <si>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</si>
  <si>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</si>
  <si>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</si>
  <si>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</si>
  <si>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</si>
  <si>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</si>
  <si>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</si>
  <si>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</si>
  <si>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</si>
  <si>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</si>
  <si>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</si>
  <si>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</si>
  <si>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</si>
  <si>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</si>
  <si>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</si>
  <si>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</si>
  <si>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</si>
  <si>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</si>
  <si>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</si>
  <si>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</si>
  <si>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</si>
  <si>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</si>
  <si>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</si>
  <si>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</si>
  <si>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</si>
  <si>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</si>
  <si>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</si>
  <si>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</si>
  <si>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</si>
  <si>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</si>
  <si>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</si>
  <si>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</si>
  <si>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</si>
  <si>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</si>
  <si>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</si>
  <si>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</si>
  <si>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</si>
  <si>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</si>
  <si>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</si>
  <si>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</si>
  <si>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</si>
  <si>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</t>
  </si>
  <si>
    <t>QP.E.ME.CBR.GEN.1000</t>
  </si>
  <si>
    <t>Plumbing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</si>
  <si>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</si>
  <si>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</si>
  <si>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</si>
  <si>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</si>
  <si>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</si>
  <si>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</si>
  <si>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</si>
  <si>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</si>
  <si>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</si>
  <si>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</si>
  <si>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</si>
  <si>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</si>
  <si>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</si>
  <si>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</si>
  <si>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</si>
  <si>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</si>
  <si>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</si>
  <si>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</si>
  <si>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</si>
  <si>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</si>
  <si>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</si>
  <si>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</si>
  <si>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</si>
  <si>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</si>
  <si>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</si>
  <si>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</si>
  <si>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</si>
  <si>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</si>
  <si>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</si>
  <si>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</si>
  <si>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</si>
  <si>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</si>
  <si>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</si>
  <si>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</si>
  <si>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</si>
  <si>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</si>
  <si>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</si>
  <si>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</si>
  <si>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</si>
  <si>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</si>
  <si>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</si>
  <si>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</si>
  <si>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</si>
  <si>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</si>
  <si>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</si>
  <si>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</si>
  <si>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</si>
  <si>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</si>
  <si>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</si>
  <si>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</si>
  <si>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</si>
  <si>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</si>
  <si>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</si>
  <si>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</si>
  <si>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</si>
  <si>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</si>
  <si>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</si>
  <si>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</si>
  <si>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</si>
  <si>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</si>
  <si>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</si>
  <si>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</si>
  <si>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</si>
  <si>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</si>
  <si>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</si>
  <si>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</si>
  <si>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</si>
  <si>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</si>
  <si>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</si>
  <si>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</si>
  <si>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</si>
  <si>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</si>
  <si>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</si>
  <si>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Shop Drawings | MEP | Blades | Blade-1 | MEP 1st Deliverables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</si>
  <si>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</si>
  <si>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</si>
  <si>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</si>
  <si>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</si>
  <si>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</si>
  <si>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</si>
  <si>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</si>
  <si>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</si>
  <si>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</si>
  <si>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</si>
  <si>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</si>
  <si>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</si>
  <si>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</si>
  <si>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</si>
  <si>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</si>
  <si>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Shop Drawings | MEP | Blades | Blade-1 | MEP 2nd Deliverables</t>
  </si>
  <si>
    <t>QP.E.ME.BL1.GEN.3280</t>
  </si>
  <si>
    <t>QP.E.ME.BL1.GEN.3320</t>
  </si>
  <si>
    <t>QP.E.ME.BL1.GEN.3340</t>
  </si>
  <si>
    <t>QP.E.ME.BL1.GEN.3360</t>
  </si>
  <si>
    <t>Shop Drawings | MEP | Blades | Blade-1 | MEP 3rd Deliverables (MEP Systems by Specialists)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</si>
  <si>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</si>
  <si>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</si>
  <si>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</si>
  <si>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</si>
  <si>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</si>
  <si>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</si>
  <si>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Shop Drawings | MEP | Blades | Blade-1 | MEP 4th Deliverables</t>
  </si>
  <si>
    <t>QP.E.ME.BL1.GEN.3480</t>
  </si>
  <si>
    <t>Stromwater Tank and Pump</t>
  </si>
  <si>
    <t>QP.E.ME.BL1.GEN.1000</t>
  </si>
  <si>
    <t>QP.E.ME.BL1.GEN.3700</t>
  </si>
  <si>
    <t>BL2 - LEVEL +876.25M to +899.25M</t>
  </si>
  <si>
    <t>Shop Drawings | MEP | Blades | Blade-2 | MEP Early Package and Builder's Work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</si>
  <si>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</si>
  <si>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</si>
  <si>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</si>
  <si>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</si>
  <si>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</si>
  <si>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</si>
  <si>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Shop Drawings | MEP | Blades | Blade-2 | MEP 1st Deliverables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</si>
  <si>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</si>
  <si>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</si>
  <si>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</si>
  <si>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</si>
  <si>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</si>
  <si>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</si>
  <si>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</si>
  <si>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</si>
  <si>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</si>
  <si>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</si>
  <si>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</si>
  <si>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</si>
  <si>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</si>
  <si>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</si>
  <si>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</si>
  <si>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Shop Drawings | MEP | Blades | Blade-2 | MEP 2nd Deliverables</t>
  </si>
  <si>
    <t>QP.E.ME.BL2.GEN.3160</t>
  </si>
  <si>
    <t>QP.E.ME.BL2.GEN.3200</t>
  </si>
  <si>
    <t>QP.E.ME.BL2.GEN.3220</t>
  </si>
  <si>
    <t>QP.E.ME.BL2.GEN.3240</t>
  </si>
  <si>
    <t>Shop Drawings | MEP | Blades | Blade-2 | MEP 3rd Deliverables (MEP Systems by Specialists)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</si>
  <si>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</si>
  <si>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</si>
  <si>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</si>
  <si>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</si>
  <si>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</si>
  <si>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</si>
  <si>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Shop Drawings | MEP | Blades | Blade-2 | MEP 4th Deliverables</t>
  </si>
  <si>
    <t>QP.E.ME.BL1.GEN.3500</t>
  </si>
  <si>
    <t>QP.E.ME.BL2.GEN.1000</t>
  </si>
  <si>
    <t>QP.E.ME.BL2.GEN.3360</t>
  </si>
  <si>
    <t>Shop Drawings | MEP | Blades | Blade-3 | MEP Early Package and Builder's Work</t>
  </si>
  <si>
    <t>QP.E.ME.BL3.GEN.3640</t>
  </si>
  <si>
    <t>QP.E.ME.BL3.GEN.3660</t>
  </si>
  <si>
    <t>QP.E.ME.BL3.GEN.3700</t>
  </si>
  <si>
    <t>QP.E.ME.BL3.GEN.3680</t>
  </si>
  <si>
    <t>Shop Drawings | MEP | Blades | Blade-3 | MEP 1st Deliverables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</si>
  <si>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</si>
  <si>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</si>
  <si>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</si>
  <si>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</si>
  <si>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</si>
  <si>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</si>
  <si>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</si>
  <si>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</si>
  <si>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</si>
  <si>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</si>
  <si>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Shop Drawings | MEP | Blades | Blade-3 | MEP 2nd Deliverables</t>
  </si>
  <si>
    <t>QP.E.ME.BL3.GEN.3400</t>
  </si>
  <si>
    <t>QP.E.ME.BL3.GEN.3440</t>
  </si>
  <si>
    <t>QP.E.ME.BL3.GEN.3460</t>
  </si>
  <si>
    <t>QP.E.ME.BL3.GEN.3480</t>
  </si>
  <si>
    <t>Shop Drawings | MEP | Blades | Blade-3 | MEP 3rd Deliverables (MEP Systems by Specialists)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</si>
  <si>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</si>
  <si>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</si>
  <si>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</si>
  <si>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</si>
  <si>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</si>
  <si>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</si>
  <si>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Shop Drawings | MEP | Blades | Blade-3 | MEP 4th Deliverables</t>
  </si>
  <si>
    <t>QP.E.ME.BL1.GEN.3520</t>
  </si>
  <si>
    <t>QP.E.ME.BL3.GEN.1000</t>
  </si>
  <si>
    <t>QP.E.ME.BL3.GEN.3520</t>
  </si>
  <si>
    <t>BL4 - LEVEL +863.85M to +899.25</t>
  </si>
  <si>
    <t>Shop Drawings | MEP | Blades | Blade-4 | MEP Early Package and Builder's Work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</si>
  <si>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</si>
  <si>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</si>
  <si>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</si>
  <si>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</si>
  <si>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</si>
  <si>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</si>
  <si>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Shop Drawings | MEP | Blades | Blade-4 | MEP 1st Deliverables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</si>
  <si>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</si>
  <si>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</si>
  <si>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</si>
  <si>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</si>
  <si>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</si>
  <si>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</si>
  <si>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</si>
  <si>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</si>
  <si>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</si>
  <si>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</si>
  <si>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</si>
  <si>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</si>
  <si>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</si>
  <si>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</si>
  <si>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</si>
  <si>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Shop Drawings | MEP | Blades | Blade-4 | MEP 2nd Deliverables</t>
  </si>
  <si>
    <t>QP.E.ME.BL4.GEN.5770</t>
  </si>
  <si>
    <t>QP.E.ME.BL4.GEN.5810</t>
  </si>
  <si>
    <t>QP.E.ME.BL4.GEN.5830</t>
  </si>
  <si>
    <t>QP.E.ME.BL4.GEN.5850</t>
  </si>
  <si>
    <t>Shop Drawings | MEP | Blades | Blade-4 | MEP 3rd Deliverables (MEP Systems by Specialists)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</si>
  <si>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</si>
  <si>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</si>
  <si>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</si>
  <si>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</si>
  <si>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</si>
  <si>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</si>
  <si>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Shop Drawings | MEP | Blades | Blade-4 | MEP 4th Deliverables</t>
  </si>
  <si>
    <t>QP.E.ME.BL1.GEN.3540</t>
  </si>
  <si>
    <t>QP.E.ME.BL4.GEN.3110</t>
  </si>
  <si>
    <t>QP.E.ME.BL4.GEN.5910</t>
  </si>
  <si>
    <t>Shop Drawings | MEP | Blades | Blade-5 | MEP Early Package and Builder's Work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</si>
  <si>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</si>
  <si>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</si>
  <si>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</si>
  <si>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</si>
  <si>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</si>
  <si>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</si>
  <si>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</si>
  <si>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Shop Drawings | MEP | Blades | Blade-5 | MEP 1st Deliverables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</si>
  <si>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</si>
  <si>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</si>
  <si>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</si>
  <si>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</si>
  <si>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</si>
  <si>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</si>
  <si>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</si>
  <si>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</si>
  <si>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</si>
  <si>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</si>
  <si>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</si>
  <si>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</si>
  <si>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</si>
  <si>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</si>
  <si>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</si>
  <si>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Shop Drawings | MEP | Blades | Blade-5 | MEP 2nd Deliverables</t>
  </si>
  <si>
    <t>QP.E.ME.BL5.GEN.2800</t>
  </si>
  <si>
    <t>QP.E.ME.BL5.GEN.2840</t>
  </si>
  <si>
    <t>QP.E.ME.BL5.GEN.2860</t>
  </si>
  <si>
    <t>QP.E.ME.BL5.GEN.2880</t>
  </si>
  <si>
    <t>Shop Drawings | MEP | Blades | Blade-5 | MEP 3rd Deliverables (MEP Systems by Specialists)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</si>
  <si>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</si>
  <si>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</si>
  <si>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</si>
  <si>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</si>
  <si>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</si>
  <si>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</si>
  <si>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Shop Drawings | MEP | Blades | Blade-5 | MEP 4th Deliverables</t>
  </si>
  <si>
    <t>QP.E.ME.BL1.GEN.3560</t>
  </si>
  <si>
    <t>QP.E.ME.BL5.GEN.1000</t>
  </si>
  <si>
    <t>QP.E.ME.BL5.GEN.2980</t>
  </si>
  <si>
    <t>Shop Drawings | MEP | Parking | MEP Early Package and Builder's Work | Parking Zone A</t>
  </si>
  <si>
    <t>QP.E.ME.PAR.GEN.1459</t>
  </si>
  <si>
    <t>QP.E.ME.PAR.GEN.1479</t>
  </si>
  <si>
    <t>Shop Drawings | MEP | Parking | MEP Early Package and Builder's Work | Parking Zone B</t>
  </si>
  <si>
    <t>QP.E.ME.PAR.GEN.1499</t>
  </si>
  <si>
    <t>QP.E.ME.PAR.GEN.1519</t>
  </si>
  <si>
    <t>Shop Drawings | MEP | Parking | MEP 1st Deliverables | Parking Zone A</t>
  </si>
  <si>
    <t>QP.E.ME.PAR.GEN.1000</t>
  </si>
  <si>
    <t>QP.E.ME.PAR.GEN.1011</t>
  </si>
  <si>
    <t>QP.E.ME.PAR.GEN.1022</t>
  </si>
  <si>
    <t>QP.E.ME.PAR.GEN.1033</t>
  </si>
  <si>
    <t>QP.E.ME.PAR.GEN.1044</t>
  </si>
  <si>
    <t>Shop Drawings | MEP | Parking | MEP 1st Deliverables | Parking Zone B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</si>
  <si>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</si>
  <si>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</si>
  <si>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</si>
  <si>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</si>
  <si>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</si>
  <si>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</si>
  <si>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</si>
  <si>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</si>
  <si>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</si>
  <si>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</si>
  <si>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</si>
  <si>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</si>
  <si>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</si>
  <si>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</si>
  <si>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</si>
  <si>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</si>
  <si>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</si>
  <si>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</si>
  <si>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</si>
  <si>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</si>
  <si>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</si>
  <si>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</si>
  <si>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</si>
  <si>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</si>
  <si>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</si>
  <si>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</si>
  <si>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</si>
  <si>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</si>
  <si>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</si>
  <si>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</si>
  <si>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</si>
  <si>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</si>
  <si>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</si>
  <si>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</si>
  <si>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</si>
  <si>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</si>
  <si>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</si>
  <si>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</si>
  <si>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</si>
  <si>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</si>
  <si>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</si>
  <si>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</si>
  <si>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</si>
  <si>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</si>
  <si>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</si>
  <si>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</si>
  <si>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</si>
  <si>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</si>
  <si>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</si>
  <si>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</si>
  <si>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</si>
  <si>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</si>
  <si>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</si>
  <si>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</si>
  <si>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</si>
  <si>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</si>
  <si>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</si>
  <si>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</si>
  <si>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</si>
  <si>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</si>
  <si>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</si>
  <si>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</si>
  <si>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</si>
  <si>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</si>
  <si>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</si>
  <si>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</si>
  <si>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</si>
  <si>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</si>
  <si>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</si>
  <si>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</si>
  <si>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</si>
  <si>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</si>
  <si>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</si>
  <si>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</si>
  <si>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</si>
  <si>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</si>
  <si>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</si>
  <si>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</si>
  <si>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</si>
  <si>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</si>
  <si>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</si>
  <si>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</si>
  <si>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</si>
  <si>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</si>
  <si>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</si>
  <si>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</si>
  <si>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</si>
  <si>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</si>
  <si>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</si>
  <si>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</si>
  <si>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</si>
  <si>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</si>
  <si>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</si>
  <si>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</si>
  <si>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</si>
  <si>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</si>
  <si>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</si>
  <si>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</si>
  <si>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</si>
  <si>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</si>
  <si>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</si>
  <si>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</si>
  <si>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</si>
  <si>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</si>
  <si>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</si>
  <si>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</si>
  <si>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</si>
  <si>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</si>
  <si>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</si>
  <si>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</si>
  <si>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</si>
  <si>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</si>
  <si>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</si>
  <si>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</si>
  <si>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</si>
  <si>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</si>
  <si>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</si>
  <si>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</si>
  <si>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</si>
  <si>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</si>
  <si>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</si>
  <si>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</si>
  <si>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</si>
  <si>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</si>
  <si>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Shop Drawings | Facade | 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</si>
  <si>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</si>
  <si>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</si>
  <si>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</si>
  <si>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</si>
  <si>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</si>
  <si>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</si>
  <si>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Shop Drawings | Facade | 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</si>
  <si>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</si>
  <si>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</si>
  <si>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</si>
  <si>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</si>
  <si>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</si>
  <si>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</si>
  <si>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</si>
  <si>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</si>
  <si>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</si>
  <si>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</si>
  <si>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</si>
  <si>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</si>
  <si>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</si>
  <si>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</si>
  <si>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</si>
  <si>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</si>
  <si>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</si>
  <si>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</si>
  <si>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</si>
  <si>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</si>
  <si>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</si>
  <si>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</si>
  <si>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</si>
  <si>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</si>
  <si>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</si>
  <si>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</si>
  <si>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</si>
  <si>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</si>
  <si>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</si>
  <si>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</si>
  <si>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</si>
  <si>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</si>
  <si>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</si>
  <si>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</si>
  <si>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</si>
  <si>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</si>
  <si>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</si>
  <si>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</si>
  <si>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</si>
  <si>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</si>
  <si>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</si>
  <si>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</si>
  <si>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</si>
  <si>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</si>
  <si>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</si>
  <si>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</si>
  <si>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</si>
  <si>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</si>
  <si>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</si>
  <si>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</si>
  <si>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</si>
  <si>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</si>
  <si>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</si>
  <si>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</si>
  <si>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</si>
  <si>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</si>
  <si>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</si>
  <si>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</si>
  <si>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</si>
  <si>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</si>
  <si>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</si>
  <si>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</si>
  <si>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</si>
  <si>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</si>
  <si>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</si>
  <si>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</si>
  <si>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</si>
  <si>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</si>
  <si>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</si>
  <si>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</si>
  <si>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</si>
  <si>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</si>
  <si>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</si>
  <si>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</si>
  <si>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</si>
  <si>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</si>
  <si>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</si>
  <si>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</si>
  <si>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</si>
  <si>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</si>
  <si>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</si>
  <si>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</si>
  <si>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</si>
  <si>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</si>
  <si>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</si>
  <si>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</si>
  <si>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</si>
  <si>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</si>
  <si>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</si>
  <si>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</si>
  <si>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</si>
  <si>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</si>
  <si>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</si>
  <si>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</si>
  <si>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</si>
  <si>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</si>
  <si>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</si>
  <si>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</si>
  <si>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</si>
  <si>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</si>
  <si>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</si>
  <si>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</si>
  <si>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</si>
  <si>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</si>
  <si>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</si>
  <si>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</si>
  <si>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</si>
  <si>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</si>
  <si>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</si>
  <si>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</si>
  <si>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</si>
  <si>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</si>
  <si>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</si>
  <si>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</si>
  <si>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</si>
  <si>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</si>
  <si>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</si>
  <si>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</si>
  <si>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</si>
  <si>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</si>
  <si>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</si>
  <si>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</si>
  <si>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</si>
  <si>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</si>
  <si>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</si>
  <si>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</si>
  <si>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</si>
  <si>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</si>
  <si>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</si>
  <si>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</si>
  <si>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</si>
  <si>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</si>
  <si>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</si>
  <si>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</si>
  <si>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</si>
  <si>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</si>
  <si>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</si>
  <si>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</si>
  <si>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</si>
  <si>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</si>
  <si>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</si>
  <si>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</si>
  <si>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</si>
  <si>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</si>
  <si>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</si>
  <si>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</si>
  <si>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</si>
  <si>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</si>
  <si>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</si>
  <si>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</si>
  <si>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</si>
  <si>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</si>
  <si>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</si>
  <si>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</si>
  <si>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</si>
  <si>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</si>
  <si>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</si>
  <si>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</si>
  <si>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</si>
  <si>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</si>
  <si>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</si>
  <si>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</si>
  <si>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</si>
  <si>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</si>
  <si>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</si>
  <si>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</si>
  <si>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</si>
  <si>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</si>
  <si>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</si>
  <si>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</si>
  <si>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</si>
  <si>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</si>
  <si>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GINGGONG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</si>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</sst>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49" fontId="3" fillId="0" borderId="13" xfId="0" applyNumberFormat="1" applyFont="1" applyBorder="1" applyAlignment="1" applyProtection="1">
      <alignment horizontal="left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10" borderId="1" xfId="0" applyFont="1" applyFill="1" applyBorder="1" applyAlignment="1">
      <alignment vertical="center"/>
    </xf>
    <xf numFmtId="0" fontId="15" fillId="0" borderId="1" xfId="0" applyFont="1" applyBorder="1"/>
    <xf numFmtId="0" fontId="15" fillId="0" borderId="6" xfId="0" applyFont="1" applyBorder="1"/>
    <xf numFmtId="15" fontId="15" fillId="11" borderId="1" xfId="0" applyNumberFormat="1" applyFont="1" applyFill="1" applyBorder="1"/>
    <xf numFmtId="15" fontId="15" fillId="11" borderId="6" xfId="0" applyNumberFormat="1" applyFont="1" applyFill="1" applyBorder="1"/>
    <xf numFmtId="15" fontId="15" fillId="12" borderId="6" xfId="0" applyNumberFormat="1" applyFont="1" applyFill="1" applyBorder="1"/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CAE7EE"/>
      <color rgb="FFFFF2CA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24" totalsRowShown="0" headerRowDxfId="92" dataDxfId="90" headerRowBorderDxfId="91" tableBorderDxfId="89" totalsRowBorderDxfId="88">
  <autoFilter ref="A16:AH124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3" dataDxfId="51" headerRowBorderDxfId="52" tableBorderDxfId="50" totalsRowBorderDxfId="49">
  <autoFilter ref="B2:N667" xr:uid="{26F04D8E-4C40-410D-8C51-B778240572FD}">
    <filterColumn colId="8">
      <filters>
        <filter val="QP.E.CV.MBL.GEN.3060"/>
      </filters>
    </filterColumn>
  </autoFilter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C5315E6D-1885-4FD1-9E07-CEAA7F6BDEDC}" uniqueName="6" name="6" queryTableFieldId="35" dataDxfId="43"/>
    <tableColumn id="7" xr3:uid="{454A1DDC-B704-4D29-97B8-7309338A9182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5" dataDxfId="33" headerRowBorderDxfId="34" tableBorderDxfId="32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24"/>
  <sheetViews>
    <sheetView showGridLines="0" tabSelected="1" zoomScale="70" zoomScaleNormal="70" workbookViewId="0">
      <pane xSplit="2" ySplit="16" topLeftCell="C56" activePane="bottomRight" state="frozen"/>
      <selection pane="topRight" activeCell="C1" sqref="C1"/>
      <selection pane="bottomLeft" activeCell="A17" sqref="A17"/>
      <selection pane="bottomRight" activeCell="D64" sqref="D64"/>
    </sheetView>
  </sheetViews>
  <sheetFormatPr defaultColWidth="9.33203125" defaultRowHeight="13.8" x14ac:dyDescent="0.3"/>
  <cols>
    <col min="1" max="1" width="57.5546875" style="2" customWidth="1"/>
    <col min="2" max="2" width="73.6640625" style="2" customWidth="1"/>
    <col min="3" max="3" width="37.33203125" style="2" customWidth="1"/>
    <col min="4" max="5" width="21.6640625" style="2" customWidth="1"/>
    <col min="6" max="6" width="12.6640625" style="3" customWidth="1"/>
    <col min="7" max="7" width="13.5546875" style="3" customWidth="1"/>
    <col min="8" max="9" width="21" style="3" customWidth="1"/>
    <col min="10" max="10" width="23.6640625" style="3" bestFit="1" customWidth="1"/>
    <col min="11" max="11" width="15.44140625" style="3" customWidth="1"/>
    <col min="12" max="21" width="13.5546875" style="3" customWidth="1"/>
    <col min="22" max="22" width="19.33203125" style="2" customWidth="1"/>
    <col min="23" max="27" width="20.44140625" style="2" customWidth="1"/>
    <col min="28" max="28" width="43" style="2" customWidth="1"/>
    <col min="29" max="34" width="20.44140625" style="2" customWidth="1"/>
    <col min="35" max="16384" width="9.33203125" style="2"/>
  </cols>
  <sheetData>
    <row r="1" spans="1:34" ht="21" x14ac:dyDescent="0.3">
      <c r="A1" s="1" t="s">
        <v>0</v>
      </c>
    </row>
    <row r="3" spans="1:34" ht="15.6" customHeight="1" x14ac:dyDescent="0.3">
      <c r="A3" s="28" t="s">
        <v>1</v>
      </c>
      <c r="B3" s="4" t="s">
        <v>2</v>
      </c>
      <c r="C3" s="73" t="e" vm="1">
        <v>#VALUE!</v>
      </c>
      <c r="D3" s="26"/>
      <c r="E3" s="26"/>
    </row>
    <row r="4" spans="1:34" ht="15.6" x14ac:dyDescent="0.3">
      <c r="A4" s="28" t="s">
        <v>3</v>
      </c>
      <c r="B4" s="4" t="s">
        <v>4</v>
      </c>
      <c r="C4" s="73"/>
      <c r="D4" s="26"/>
      <c r="E4" s="26"/>
    </row>
    <row r="5" spans="1:34" ht="15.6" x14ac:dyDescent="0.3">
      <c r="A5" s="28" t="s">
        <v>5</v>
      </c>
      <c r="B5" s="4" t="s">
        <v>6</v>
      </c>
      <c r="C5" s="73"/>
      <c r="D5" s="26"/>
      <c r="E5" s="26"/>
    </row>
    <row r="6" spans="1:34" ht="15.6" x14ac:dyDescent="0.3">
      <c r="A6" s="28" t="s">
        <v>7</v>
      </c>
      <c r="B6" s="19" t="s">
        <v>8</v>
      </c>
      <c r="C6" s="73"/>
      <c r="D6" s="26"/>
      <c r="E6" s="26"/>
    </row>
    <row r="7" spans="1:34" ht="15.6" x14ac:dyDescent="0.3">
      <c r="A7" s="28" t="s">
        <v>9</v>
      </c>
      <c r="B7" s="4" t="s">
        <v>10</v>
      </c>
      <c r="C7" s="73"/>
      <c r="D7" s="26"/>
      <c r="E7" s="26"/>
    </row>
    <row r="8" spans="1:34" ht="15.6" x14ac:dyDescent="0.3">
      <c r="A8" s="28" t="s">
        <v>11</v>
      </c>
      <c r="B8" s="23"/>
      <c r="C8" s="73"/>
      <c r="D8" s="26"/>
      <c r="E8" s="26"/>
    </row>
    <row r="9" spans="1:34" ht="15.6" x14ac:dyDescent="0.3">
      <c r="A9" s="28" t="s">
        <v>12</v>
      </c>
      <c r="B9" s="23"/>
      <c r="C9" s="73"/>
      <c r="D9" s="26"/>
      <c r="E9" s="26"/>
    </row>
    <row r="10" spans="1:34" ht="15.6" x14ac:dyDescent="0.3">
      <c r="A10" s="28" t="s">
        <v>13</v>
      </c>
      <c r="B10" s="45" t="s">
        <v>14</v>
      </c>
      <c r="C10" s="73"/>
      <c r="D10" s="26"/>
      <c r="E10" s="26"/>
    </row>
    <row r="11" spans="1:34" ht="15.6" x14ac:dyDescent="0.3">
      <c r="A11" s="28" t="s">
        <v>15</v>
      </c>
      <c r="B11" s="46" t="s">
        <v>16</v>
      </c>
      <c r="C11" s="73"/>
      <c r="D11" s="26"/>
      <c r="E11" s="26"/>
    </row>
    <row r="12" spans="1:34" x14ac:dyDescent="0.3">
      <c r="A12" s="5" t="s">
        <v>17</v>
      </c>
      <c r="B12" s="3"/>
      <c r="C12" s="3"/>
      <c r="D12" s="3"/>
      <c r="E12" s="3"/>
      <c r="L12" s="75" t="s">
        <v>18</v>
      </c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 t="s">
        <v>19</v>
      </c>
      <c r="X12" s="75"/>
      <c r="Y12" s="75"/>
      <c r="Z12" s="75"/>
      <c r="AA12" s="75"/>
      <c r="AB12" s="75"/>
      <c r="AC12" s="75" t="s">
        <v>20</v>
      </c>
      <c r="AD12" s="75"/>
      <c r="AE12" s="75"/>
      <c r="AF12" s="75"/>
      <c r="AG12" s="75"/>
      <c r="AH12" s="75"/>
    </row>
    <row r="13" spans="1:34" x14ac:dyDescent="0.3">
      <c r="A13" s="6"/>
      <c r="B13" s="3"/>
      <c r="C13" s="3"/>
      <c r="D13" s="3"/>
      <c r="E13" s="3"/>
      <c r="L13" s="74" t="s">
        <v>21</v>
      </c>
      <c r="M13" s="74"/>
      <c r="N13" s="74"/>
      <c r="O13" s="74"/>
      <c r="P13" s="74"/>
      <c r="Q13" s="74"/>
      <c r="R13" s="74"/>
      <c r="S13" s="74"/>
      <c r="T13" s="74"/>
      <c r="U13" s="74"/>
      <c r="V13" s="75"/>
      <c r="W13" s="35" t="s">
        <v>22</v>
      </c>
      <c r="X13" s="76" t="s">
        <v>23</v>
      </c>
      <c r="Y13" s="76"/>
      <c r="Z13" s="76"/>
      <c r="AA13" s="76"/>
      <c r="AB13" s="76"/>
      <c r="AC13" s="35" t="s">
        <v>22</v>
      </c>
      <c r="AD13" s="76" t="s">
        <v>24</v>
      </c>
      <c r="AE13" s="76"/>
      <c r="AF13" s="76"/>
      <c r="AG13" s="76"/>
      <c r="AH13" s="76"/>
    </row>
    <row r="14" spans="1:34" x14ac:dyDescent="0.3">
      <c r="B14" s="3"/>
      <c r="C14" s="3"/>
      <c r="D14" s="3"/>
      <c r="E14" s="3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5"/>
      <c r="W14" s="35" t="s">
        <v>25</v>
      </c>
      <c r="X14" s="77"/>
      <c r="Y14" s="77"/>
      <c r="Z14" s="77"/>
      <c r="AA14" s="77"/>
      <c r="AB14" s="77"/>
      <c r="AC14" s="35" t="s">
        <v>25</v>
      </c>
      <c r="AD14" s="77"/>
      <c r="AE14" s="77"/>
      <c r="AF14" s="77"/>
      <c r="AG14" s="77"/>
      <c r="AH14" s="77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74" t="s">
        <v>34</v>
      </c>
      <c r="T15" s="74"/>
      <c r="U15" s="74"/>
      <c r="V15" s="75"/>
      <c r="W15" s="36"/>
      <c r="X15" s="74" t="s">
        <v>35</v>
      </c>
      <c r="Y15" s="74"/>
      <c r="Z15" s="37"/>
      <c r="AA15" s="37"/>
      <c r="AB15" s="37"/>
      <c r="AC15" s="35"/>
      <c r="AD15" s="74" t="s">
        <v>35</v>
      </c>
      <c r="AE15" s="74"/>
      <c r="AF15" s="30"/>
      <c r="AG15" s="30"/>
      <c r="AH15" s="30"/>
    </row>
    <row r="16" spans="1:34" ht="27.6" x14ac:dyDescent="0.3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3">
      <c r="A17" s="43" t="str">
        <f t="shared" ref="A17:A18" si="0">CONCATENATE(TRIM(L17),"-",TRIM(M17),"-",TRIM(N17),"-",TRIM(O17),"-",TRIM(P17),"-",TRIM(Q17),"-",TRIM(R17),"-",TRIM(S17),TRIM(T17),TRIM(U17))</f>
        <v>QF01012-NES-C04518-SDW-FWR-00-BLAD01-0ZZ0059</v>
      </c>
      <c r="B17" s="52" t="s">
        <v>68</v>
      </c>
      <c r="C17" s="8"/>
      <c r="D17" s="8"/>
      <c r="E17" s="53" t="s">
        <v>69</v>
      </c>
      <c r="F17" s="54" t="s">
        <v>70</v>
      </c>
      <c r="G17" s="9" t="s">
        <v>71</v>
      </c>
      <c r="H17" s="70">
        <v>46149</v>
      </c>
      <c r="I17" s="25"/>
      <c r="J17" s="54" t="s">
        <v>72</v>
      </c>
      <c r="K17" s="9" t="s">
        <v>73</v>
      </c>
      <c r="L17" s="9" t="s">
        <v>74</v>
      </c>
      <c r="M17" s="54" t="s">
        <v>75</v>
      </c>
      <c r="N17" s="54" t="s">
        <v>76</v>
      </c>
      <c r="O17" s="9" t="s">
        <v>77</v>
      </c>
      <c r="P17" s="9" t="s">
        <v>78</v>
      </c>
      <c r="Q17" s="54" t="s">
        <v>14</v>
      </c>
      <c r="R17" s="54" t="s">
        <v>79</v>
      </c>
      <c r="S17" s="55">
        <v>0</v>
      </c>
      <c r="T17" s="9" t="s">
        <v>80</v>
      </c>
      <c r="U17" s="54" t="s">
        <v>81</v>
      </c>
      <c r="V17" s="24" t="str">
        <f t="shared" ref="V17:V90" si="1">IF($B$6="","",$B$6)</f>
        <v>Structural</v>
      </c>
      <c r="W17" s="10" t="s">
        <v>82</v>
      </c>
      <c r="X17" s="10" t="s">
        <v>83</v>
      </c>
      <c r="Y17" s="10"/>
      <c r="Z17" s="10"/>
      <c r="AA17" s="10"/>
      <c r="AB17" s="22">
        <f>_xlfn.XLOOKUP(TIDP[[#This Row],[ACTIVITY ID]],Baseline[Activity Code],Baseline[Finish],"",0)</f>
        <v>46221</v>
      </c>
      <c r="AC17" s="10"/>
      <c r="AD17" s="10"/>
      <c r="AE17" s="10"/>
      <c r="AF17" s="10"/>
      <c r="AG17" s="10"/>
      <c r="AH17" s="11"/>
    </row>
    <row r="18" spans="1:34" x14ac:dyDescent="0.3">
      <c r="A18" s="43" t="str">
        <f t="shared" si="0"/>
        <v>QF01012-NES-C04518-SDW-FWR-00-BLAD02-0ZZ0060</v>
      </c>
      <c r="B18" s="52" t="s">
        <v>84</v>
      </c>
      <c r="C18" s="8"/>
      <c r="D18" s="8"/>
      <c r="E18" s="53" t="s">
        <v>69</v>
      </c>
      <c r="F18" s="54" t="s">
        <v>70</v>
      </c>
      <c r="G18" s="9" t="s">
        <v>71</v>
      </c>
      <c r="H18" s="71">
        <v>46149</v>
      </c>
      <c r="I18" s="25"/>
      <c r="J18" s="54" t="s">
        <v>72</v>
      </c>
      <c r="K18" s="9" t="s">
        <v>73</v>
      </c>
      <c r="L18" s="9" t="s">
        <v>74</v>
      </c>
      <c r="M18" s="54" t="s">
        <v>75</v>
      </c>
      <c r="N18" s="54" t="s">
        <v>76</v>
      </c>
      <c r="O18" s="9" t="s">
        <v>77</v>
      </c>
      <c r="P18" s="9" t="s">
        <v>78</v>
      </c>
      <c r="Q18" s="54" t="s">
        <v>14</v>
      </c>
      <c r="R18" s="54" t="s">
        <v>85</v>
      </c>
      <c r="S18" s="55">
        <v>0</v>
      </c>
      <c r="T18" s="9" t="s">
        <v>80</v>
      </c>
      <c r="U18" s="54" t="s">
        <v>86</v>
      </c>
      <c r="V18" s="24" t="str">
        <f t="shared" si="1"/>
        <v>Structural</v>
      </c>
      <c r="W18" s="10" t="s">
        <v>82</v>
      </c>
      <c r="X18" s="10" t="s">
        <v>83</v>
      </c>
      <c r="Y18" s="10"/>
      <c r="Z18" s="10"/>
      <c r="AA18" s="10"/>
      <c r="AB18" s="22">
        <f>_xlfn.XLOOKUP(TIDP[[#This Row],[ACTIVITY ID]],Baseline[Activity Code],Baseline[Finish],"",0)</f>
        <v>46221</v>
      </c>
      <c r="AC18" s="10"/>
      <c r="AD18" s="10"/>
      <c r="AE18" s="10"/>
      <c r="AF18" s="10"/>
      <c r="AG18" s="10"/>
      <c r="AH18" s="11"/>
    </row>
    <row r="19" spans="1:34" x14ac:dyDescent="0.3">
      <c r="A19" s="43" t="str">
        <f t="shared" ref="A19:A59" si="2">CONCATENATE(TRIM(L19),"-",TRIM(M19),"-",TRIM(N19),"-",TRIM(O19),"-",TRIM(P19),"-",TRIM(Q19),"-",TRIM(R19),"-",TRIM(S19),TRIM(T19),TRIM(U19))</f>
        <v>QF01012-NES-C04518-SDW-FWR-00-Z00000-2ZZ0001</v>
      </c>
      <c r="B19" s="52" t="s">
        <v>87</v>
      </c>
      <c r="C19" s="8"/>
      <c r="D19" s="8"/>
      <c r="E19" s="53" t="s">
        <v>69</v>
      </c>
      <c r="F19" s="54" t="s">
        <v>70</v>
      </c>
      <c r="G19" s="9" t="s">
        <v>71</v>
      </c>
      <c r="H19" s="71">
        <v>46078</v>
      </c>
      <c r="I19" s="25"/>
      <c r="J19" s="54" t="s">
        <v>72</v>
      </c>
      <c r="K19" s="9" t="s">
        <v>73</v>
      </c>
      <c r="L19" s="9" t="s">
        <v>74</v>
      </c>
      <c r="M19" s="54" t="s">
        <v>75</v>
      </c>
      <c r="N19" s="54" t="s">
        <v>76</v>
      </c>
      <c r="O19" s="9" t="s">
        <v>77</v>
      </c>
      <c r="P19" s="9" t="s">
        <v>78</v>
      </c>
      <c r="Q19" s="54" t="s">
        <v>14</v>
      </c>
      <c r="R19" s="54" t="s">
        <v>88</v>
      </c>
      <c r="S19" s="55">
        <v>2</v>
      </c>
      <c r="T19" s="9" t="s">
        <v>80</v>
      </c>
      <c r="U19" s="54" t="s">
        <v>89</v>
      </c>
      <c r="V19" s="24" t="str">
        <f t="shared" si="1"/>
        <v>Structural</v>
      </c>
      <c r="W19" s="10" t="s">
        <v>82</v>
      </c>
      <c r="X19" s="10" t="s">
        <v>83</v>
      </c>
      <c r="Y19" s="10"/>
      <c r="Z19" s="10"/>
      <c r="AA19" s="10"/>
      <c r="AB19" s="22">
        <f>_xlfn.XLOOKUP(TIDP[[#This Row],[ACTIVITY ID]],Baseline[Activity Code],Baseline[Finish],"",0)</f>
        <v>46221</v>
      </c>
      <c r="AC19" s="10"/>
      <c r="AD19" s="10"/>
      <c r="AE19" s="10"/>
      <c r="AF19" s="10"/>
      <c r="AG19" s="10"/>
      <c r="AH19" s="11"/>
    </row>
    <row r="20" spans="1:34" x14ac:dyDescent="0.3">
      <c r="A20" s="43" t="str">
        <f t="shared" ref="A20:A22" si="3">CONCATENATE(TRIM(L20),"-",TRIM(M20),"-",TRIM(N20),"-",TRIM(O20),"-",TRIM(P20),"-",TRIM(Q20),"-",TRIM(R20),"-",TRIM(S20),TRIM(T20),TRIM(U20))</f>
        <v>QF01012-NES-C04518-SDW-FWR-00-BLAD05-2ZZ0054</v>
      </c>
      <c r="B20" s="52" t="s">
        <v>90</v>
      </c>
      <c r="C20" s="8"/>
      <c r="D20" s="8"/>
      <c r="E20" s="53" t="s">
        <v>69</v>
      </c>
      <c r="F20" s="54" t="s">
        <v>70</v>
      </c>
      <c r="G20" s="9" t="s">
        <v>71</v>
      </c>
      <c r="H20" s="71">
        <v>46118</v>
      </c>
      <c r="I20" s="25"/>
      <c r="J20" s="54" t="s">
        <v>72</v>
      </c>
      <c r="K20" s="9" t="s">
        <v>73</v>
      </c>
      <c r="L20" s="9" t="s">
        <v>74</v>
      </c>
      <c r="M20" s="54" t="s">
        <v>75</v>
      </c>
      <c r="N20" s="54" t="s">
        <v>76</v>
      </c>
      <c r="O20" s="9" t="s">
        <v>77</v>
      </c>
      <c r="P20" s="9" t="s">
        <v>78</v>
      </c>
      <c r="Q20" s="54" t="s">
        <v>14</v>
      </c>
      <c r="R20" s="54" t="s">
        <v>91</v>
      </c>
      <c r="S20" s="55">
        <v>2</v>
      </c>
      <c r="T20" s="9" t="s">
        <v>80</v>
      </c>
      <c r="U20" s="54" t="s">
        <v>92</v>
      </c>
      <c r="V20" s="24" t="str">
        <f t="shared" si="1"/>
        <v>Structural</v>
      </c>
      <c r="W20" s="10" t="s">
        <v>82</v>
      </c>
      <c r="X20" s="10" t="s">
        <v>83</v>
      </c>
      <c r="Y20" s="10"/>
      <c r="Z20" s="10"/>
      <c r="AA20" s="10"/>
      <c r="AB20" s="22">
        <f>_xlfn.XLOOKUP(TIDP[[#This Row],[ACTIVITY ID]],Baseline[Activity Code],Baseline[Finish],"",0)</f>
        <v>46221</v>
      </c>
      <c r="AC20" s="10"/>
      <c r="AD20" s="10"/>
      <c r="AE20" s="10"/>
      <c r="AF20" s="10"/>
      <c r="AG20" s="10"/>
      <c r="AH20" s="11"/>
    </row>
    <row r="21" spans="1:34" x14ac:dyDescent="0.3">
      <c r="A21" s="43" t="str">
        <f t="shared" ref="A21" si="4">CONCATENATE(TRIM(L21),"-",TRIM(M21),"-",TRIM(N21),"-",TRIM(O21),"-",TRIM(P21),"-",TRIM(Q21),"-",TRIM(R21),"-",TRIM(S21),TRIM(T21),TRIM(U21))</f>
        <v>QF01012-NES-C04518-SDW-FWR-00-BLAD04-2ZZ0057</v>
      </c>
      <c r="B21" s="52" t="s">
        <v>93</v>
      </c>
      <c r="C21" s="8"/>
      <c r="D21" s="8"/>
      <c r="E21" s="53" t="s">
        <v>69</v>
      </c>
      <c r="F21" s="54" t="s">
        <v>70</v>
      </c>
      <c r="G21" s="9" t="s">
        <v>71</v>
      </c>
      <c r="H21" s="71">
        <v>46127</v>
      </c>
      <c r="I21" s="25"/>
      <c r="J21" s="54" t="s">
        <v>72</v>
      </c>
      <c r="K21" s="9" t="s">
        <v>73</v>
      </c>
      <c r="L21" s="9" t="s">
        <v>74</v>
      </c>
      <c r="M21" s="54" t="s">
        <v>75</v>
      </c>
      <c r="N21" s="54" t="s">
        <v>76</v>
      </c>
      <c r="O21" s="9" t="s">
        <v>77</v>
      </c>
      <c r="P21" s="9" t="s">
        <v>78</v>
      </c>
      <c r="Q21" s="54" t="s">
        <v>14</v>
      </c>
      <c r="R21" s="54" t="s">
        <v>94</v>
      </c>
      <c r="S21" s="55">
        <v>2</v>
      </c>
      <c r="T21" s="9" t="s">
        <v>80</v>
      </c>
      <c r="U21" s="54" t="s">
        <v>95</v>
      </c>
      <c r="V21" s="24" t="str">
        <f t="shared" si="1"/>
        <v>Structural</v>
      </c>
      <c r="W21" s="10" t="s">
        <v>82</v>
      </c>
      <c r="X21" s="10" t="s">
        <v>83</v>
      </c>
      <c r="Y21" s="10"/>
      <c r="Z21" s="10"/>
      <c r="AA21" s="10"/>
      <c r="AB21" s="22">
        <f>_xlfn.XLOOKUP(TIDP[[#This Row],[ACTIVITY ID]],Baseline[Activity Code],Baseline[Finish],"",0)</f>
        <v>46221</v>
      </c>
      <c r="AC21" s="10"/>
      <c r="AD21" s="10"/>
      <c r="AE21" s="10"/>
      <c r="AF21" s="10"/>
      <c r="AG21" s="10"/>
      <c r="AH21" s="11"/>
    </row>
    <row r="22" spans="1:34" x14ac:dyDescent="0.3">
      <c r="A22" s="43" t="str">
        <f t="shared" si="3"/>
        <v>QF01012-NES-C04518-SDW-FWR-00-BLAD05-2ZZ0055</v>
      </c>
      <c r="B22" s="52" t="s">
        <v>96</v>
      </c>
      <c r="C22" s="8"/>
      <c r="D22" s="8"/>
      <c r="E22" s="53" t="s">
        <v>69</v>
      </c>
      <c r="F22" s="54" t="s">
        <v>70</v>
      </c>
      <c r="G22" s="9" t="s">
        <v>71</v>
      </c>
      <c r="H22" s="71">
        <v>46118</v>
      </c>
      <c r="I22" s="25"/>
      <c r="J22" s="54" t="s">
        <v>72</v>
      </c>
      <c r="K22" s="9" t="s">
        <v>73</v>
      </c>
      <c r="L22" s="9" t="s">
        <v>74</v>
      </c>
      <c r="M22" s="54" t="s">
        <v>75</v>
      </c>
      <c r="N22" s="54" t="s">
        <v>76</v>
      </c>
      <c r="O22" s="9" t="s">
        <v>77</v>
      </c>
      <c r="P22" s="9" t="s">
        <v>78</v>
      </c>
      <c r="Q22" s="54" t="s">
        <v>14</v>
      </c>
      <c r="R22" s="54" t="s">
        <v>91</v>
      </c>
      <c r="S22" s="55">
        <v>2</v>
      </c>
      <c r="T22" s="9" t="s">
        <v>80</v>
      </c>
      <c r="U22" s="54" t="s">
        <v>97</v>
      </c>
      <c r="V22" s="24" t="str">
        <f t="shared" si="1"/>
        <v>Structural</v>
      </c>
      <c r="W22" s="10" t="s">
        <v>82</v>
      </c>
      <c r="X22" s="10" t="s">
        <v>83</v>
      </c>
      <c r="Y22" s="10"/>
      <c r="Z22" s="10"/>
      <c r="AA22" s="10"/>
      <c r="AB22" s="22">
        <f>_xlfn.XLOOKUP(TIDP[[#This Row],[ACTIVITY ID]],Baseline[Activity Code],Baseline[Finish],"",0)</f>
        <v>46221</v>
      </c>
      <c r="AC22" s="10"/>
      <c r="AD22" s="10"/>
      <c r="AE22" s="10"/>
      <c r="AF22" s="10"/>
      <c r="AG22" s="10"/>
      <c r="AH22" s="11"/>
    </row>
    <row r="23" spans="1:34" x14ac:dyDescent="0.3">
      <c r="A23" s="43" t="str">
        <f t="shared" ref="A23" si="5">CONCATENATE(TRIM(L23),"-",TRIM(M23),"-",TRIM(N23),"-",TRIM(O23),"-",TRIM(P23),"-",TRIM(Q23),"-",TRIM(R23),"-",TRIM(S23),TRIM(T23),TRIM(U23))</f>
        <v>QF01012-NES-C04518-SDW-FWR-00-Z00000-2B20053</v>
      </c>
      <c r="B23" s="52" t="s">
        <v>98</v>
      </c>
      <c r="C23" s="8"/>
      <c r="D23" s="8"/>
      <c r="E23" s="53" t="s">
        <v>69</v>
      </c>
      <c r="F23" s="54" t="s">
        <v>70</v>
      </c>
      <c r="G23" s="9" t="s">
        <v>71</v>
      </c>
      <c r="H23" s="71">
        <v>46111</v>
      </c>
      <c r="I23" s="25"/>
      <c r="J23" s="54" t="s">
        <v>72</v>
      </c>
      <c r="K23" s="9" t="s">
        <v>73</v>
      </c>
      <c r="L23" s="9" t="s">
        <v>74</v>
      </c>
      <c r="M23" s="54" t="s">
        <v>75</v>
      </c>
      <c r="N23" s="54" t="s">
        <v>76</v>
      </c>
      <c r="O23" s="9" t="s">
        <v>77</v>
      </c>
      <c r="P23" s="9" t="s">
        <v>78</v>
      </c>
      <c r="Q23" s="54" t="s">
        <v>14</v>
      </c>
      <c r="R23" s="54" t="s">
        <v>88</v>
      </c>
      <c r="S23" s="55">
        <v>2</v>
      </c>
      <c r="T23" s="9" t="s">
        <v>99</v>
      </c>
      <c r="U23" s="54" t="s">
        <v>100</v>
      </c>
      <c r="V23" s="24" t="str">
        <f t="shared" si="1"/>
        <v>Structural</v>
      </c>
      <c r="W23" s="10" t="s">
        <v>82</v>
      </c>
      <c r="X23" s="10" t="s">
        <v>83</v>
      </c>
      <c r="Y23" s="10"/>
      <c r="Z23" s="10"/>
      <c r="AA23" s="10"/>
      <c r="AB23" s="22">
        <f>_xlfn.XLOOKUP(TIDP[[#This Row],[ACTIVITY ID]],Baseline[Activity Code],Baseline[Finish],"",0)</f>
        <v>46221</v>
      </c>
      <c r="AC23" s="10"/>
      <c r="AD23" s="10"/>
      <c r="AE23" s="10"/>
      <c r="AF23" s="10"/>
      <c r="AG23" s="10"/>
      <c r="AH23" s="11"/>
    </row>
    <row r="24" spans="1:34" x14ac:dyDescent="0.3">
      <c r="A24" s="43" t="str">
        <f t="shared" si="2"/>
        <v>QF01012-NES-C04518-SDW-FWR-00-Z00000-2ZZ0002</v>
      </c>
      <c r="B24" s="52" t="s">
        <v>101</v>
      </c>
      <c r="C24" s="8"/>
      <c r="D24" s="8"/>
      <c r="E24" s="53" t="s">
        <v>69</v>
      </c>
      <c r="F24" s="54" t="s">
        <v>70</v>
      </c>
      <c r="G24" s="9" t="s">
        <v>71</v>
      </c>
      <c r="H24" s="71">
        <v>46078</v>
      </c>
      <c r="I24" s="25"/>
      <c r="J24" s="54" t="s">
        <v>72</v>
      </c>
      <c r="K24" s="9" t="s">
        <v>73</v>
      </c>
      <c r="L24" s="9" t="s">
        <v>74</v>
      </c>
      <c r="M24" s="54" t="s">
        <v>75</v>
      </c>
      <c r="N24" s="54" t="s">
        <v>76</v>
      </c>
      <c r="O24" s="9" t="s">
        <v>77</v>
      </c>
      <c r="P24" s="9" t="s">
        <v>78</v>
      </c>
      <c r="Q24" s="54" t="s">
        <v>14</v>
      </c>
      <c r="R24" s="54" t="s">
        <v>88</v>
      </c>
      <c r="S24" s="55">
        <v>2</v>
      </c>
      <c r="T24" s="9" t="s">
        <v>80</v>
      </c>
      <c r="U24" s="54" t="s">
        <v>102</v>
      </c>
      <c r="V24" s="24" t="str">
        <f t="shared" si="1"/>
        <v>Structural</v>
      </c>
      <c r="W24" s="10" t="s">
        <v>82</v>
      </c>
      <c r="X24" s="10" t="s">
        <v>83</v>
      </c>
      <c r="Y24" s="10"/>
      <c r="Z24" s="10"/>
      <c r="AA24" s="10"/>
      <c r="AB24" s="22">
        <f>_xlfn.XLOOKUP(TIDP[[#This Row],[ACTIVITY ID]],Baseline[Activity Code],Baseline[Finish],"",0)</f>
        <v>46221</v>
      </c>
      <c r="AC24" s="10"/>
      <c r="AD24" s="10"/>
      <c r="AE24" s="10"/>
      <c r="AF24" s="10"/>
      <c r="AG24" s="10"/>
      <c r="AH24" s="11"/>
    </row>
    <row r="25" spans="1:34" x14ac:dyDescent="0.3">
      <c r="A25" s="43" t="str">
        <f t="shared" si="2"/>
        <v>QF01012-NES-C04518-SDW-FWR-00-Z00000-2ZZ0003</v>
      </c>
      <c r="B25" s="52" t="s">
        <v>103</v>
      </c>
      <c r="C25" s="8"/>
      <c r="D25" s="8"/>
      <c r="E25" s="53" t="s">
        <v>69</v>
      </c>
      <c r="F25" s="54" t="s">
        <v>70</v>
      </c>
      <c r="G25" s="9" t="s">
        <v>71</v>
      </c>
      <c r="H25" s="71">
        <v>46078</v>
      </c>
      <c r="I25" s="25"/>
      <c r="J25" s="54" t="s">
        <v>72</v>
      </c>
      <c r="K25" s="9" t="s">
        <v>73</v>
      </c>
      <c r="L25" s="9" t="s">
        <v>74</v>
      </c>
      <c r="M25" s="54" t="s">
        <v>75</v>
      </c>
      <c r="N25" s="54" t="s">
        <v>76</v>
      </c>
      <c r="O25" s="9" t="s">
        <v>77</v>
      </c>
      <c r="P25" s="9" t="s">
        <v>78</v>
      </c>
      <c r="Q25" s="54" t="s">
        <v>14</v>
      </c>
      <c r="R25" s="54" t="s">
        <v>88</v>
      </c>
      <c r="S25" s="55">
        <v>2</v>
      </c>
      <c r="T25" s="9" t="s">
        <v>80</v>
      </c>
      <c r="U25" s="54" t="s">
        <v>104</v>
      </c>
      <c r="V25" s="24" t="str">
        <f t="shared" si="1"/>
        <v>Structural</v>
      </c>
      <c r="W25" s="10" t="s">
        <v>82</v>
      </c>
      <c r="X25" s="10" t="s">
        <v>83</v>
      </c>
      <c r="Y25" s="10"/>
      <c r="Z25" s="10"/>
      <c r="AA25" s="10"/>
      <c r="AB25" s="22">
        <f>_xlfn.XLOOKUP(TIDP[[#This Row],[ACTIVITY ID]],Baseline[Activity Code],Baseline[Finish],"",0)</f>
        <v>46221</v>
      </c>
      <c r="AC25" s="10"/>
      <c r="AD25" s="10"/>
      <c r="AE25" s="10"/>
      <c r="AF25" s="10"/>
      <c r="AG25" s="10"/>
      <c r="AH25" s="11"/>
    </row>
    <row r="26" spans="1:34" x14ac:dyDescent="0.3">
      <c r="A26" s="43" t="str">
        <f t="shared" ref="A26:A30" si="6">CONCATENATE(TRIM(L26),"-",TRIM(M26),"-",TRIM(N26),"-",TRIM(O26),"-",TRIM(P26),"-",TRIM(Q26),"-",TRIM(R26),"-",TRIM(S26),TRIM(T26),TRIM(U26))</f>
        <v>QF01012-NES-C04518-SDW-FWR-00-Z00000-2B10046</v>
      </c>
      <c r="B26" s="52" t="s">
        <v>105</v>
      </c>
      <c r="C26" s="8"/>
      <c r="D26" s="8"/>
      <c r="E26" s="53" t="s">
        <v>69</v>
      </c>
      <c r="F26" s="54" t="s">
        <v>70</v>
      </c>
      <c r="G26" s="9" t="s">
        <v>71</v>
      </c>
      <c r="H26" s="71">
        <v>46219</v>
      </c>
      <c r="I26" s="25"/>
      <c r="J26" s="54" t="s">
        <v>72</v>
      </c>
      <c r="K26" s="9" t="s">
        <v>73</v>
      </c>
      <c r="L26" s="9" t="s">
        <v>74</v>
      </c>
      <c r="M26" s="54" t="s">
        <v>75</v>
      </c>
      <c r="N26" s="54" t="s">
        <v>76</v>
      </c>
      <c r="O26" s="9" t="s">
        <v>77</v>
      </c>
      <c r="P26" s="9" t="s">
        <v>78</v>
      </c>
      <c r="Q26" s="54" t="s">
        <v>14</v>
      </c>
      <c r="R26" s="54" t="s">
        <v>88</v>
      </c>
      <c r="S26" s="55">
        <v>2</v>
      </c>
      <c r="T26" s="9" t="s">
        <v>106</v>
      </c>
      <c r="U26" s="54" t="s">
        <v>107</v>
      </c>
      <c r="V26" s="24" t="str">
        <f t="shared" si="1"/>
        <v>Structural</v>
      </c>
      <c r="W26" s="10" t="s">
        <v>82</v>
      </c>
      <c r="X26" s="10" t="s">
        <v>83</v>
      </c>
      <c r="Y26" s="10"/>
      <c r="Z26" s="10"/>
      <c r="AA26" s="10"/>
      <c r="AB26" s="22">
        <f>_xlfn.XLOOKUP(TIDP[[#This Row],[ACTIVITY ID]],Baseline[Activity Code],Baseline[Finish],"",0)</f>
        <v>46221</v>
      </c>
      <c r="AC26" s="10"/>
      <c r="AD26" s="10"/>
      <c r="AE26" s="10"/>
      <c r="AF26" s="10"/>
      <c r="AG26" s="10"/>
      <c r="AH26" s="11"/>
    </row>
    <row r="27" spans="1:34" x14ac:dyDescent="0.3">
      <c r="A27" s="43" t="str">
        <f t="shared" si="6"/>
        <v>QF01012-NES-C04518-SDW-FWR-00-Z00000-2B10048</v>
      </c>
      <c r="B27" s="52" t="s">
        <v>108</v>
      </c>
      <c r="C27" s="8"/>
      <c r="D27" s="8"/>
      <c r="E27" s="53" t="s">
        <v>69</v>
      </c>
      <c r="F27" s="54" t="s">
        <v>70</v>
      </c>
      <c r="G27" s="9" t="s">
        <v>71</v>
      </c>
      <c r="H27" s="71">
        <v>46219</v>
      </c>
      <c r="I27" s="25"/>
      <c r="J27" s="54" t="s">
        <v>72</v>
      </c>
      <c r="K27" s="9" t="s">
        <v>73</v>
      </c>
      <c r="L27" s="9" t="s">
        <v>74</v>
      </c>
      <c r="M27" s="54" t="s">
        <v>75</v>
      </c>
      <c r="N27" s="54" t="s">
        <v>76</v>
      </c>
      <c r="O27" s="9" t="s">
        <v>77</v>
      </c>
      <c r="P27" s="9" t="s">
        <v>78</v>
      </c>
      <c r="Q27" s="54" t="s">
        <v>14</v>
      </c>
      <c r="R27" s="54" t="s">
        <v>88</v>
      </c>
      <c r="S27" s="55">
        <v>2</v>
      </c>
      <c r="T27" s="9" t="s">
        <v>106</v>
      </c>
      <c r="U27" s="54" t="s">
        <v>109</v>
      </c>
      <c r="V27" s="24" t="str">
        <f t="shared" si="1"/>
        <v>Structural</v>
      </c>
      <c r="W27" s="10" t="s">
        <v>82</v>
      </c>
      <c r="X27" s="10" t="s">
        <v>83</v>
      </c>
      <c r="Y27" s="10"/>
      <c r="Z27" s="10"/>
      <c r="AA27" s="10"/>
      <c r="AB27" s="22">
        <f>_xlfn.XLOOKUP(TIDP[[#This Row],[ACTIVITY ID]],Baseline[Activity Code],Baseline[Finish],"",0)</f>
        <v>46221</v>
      </c>
      <c r="AC27" s="10"/>
      <c r="AD27" s="10"/>
      <c r="AE27" s="10"/>
      <c r="AF27" s="10"/>
      <c r="AG27" s="10"/>
      <c r="AH27" s="11"/>
    </row>
    <row r="28" spans="1:34" x14ac:dyDescent="0.3">
      <c r="A28" s="43" t="str">
        <f t="shared" si="6"/>
        <v>QF01012-NES-C04518-SDW-FWR-00-Z00000-2B10049</v>
      </c>
      <c r="B28" s="52" t="s">
        <v>110</v>
      </c>
      <c r="C28" s="8"/>
      <c r="D28" s="8"/>
      <c r="E28" s="53" t="s">
        <v>69</v>
      </c>
      <c r="F28" s="54" t="s">
        <v>70</v>
      </c>
      <c r="G28" s="9" t="s">
        <v>71</v>
      </c>
      <c r="H28" s="71">
        <v>46219</v>
      </c>
      <c r="I28" s="25"/>
      <c r="J28" s="54" t="s">
        <v>72</v>
      </c>
      <c r="K28" s="9" t="s">
        <v>73</v>
      </c>
      <c r="L28" s="9" t="s">
        <v>74</v>
      </c>
      <c r="M28" s="54" t="s">
        <v>75</v>
      </c>
      <c r="N28" s="54" t="s">
        <v>76</v>
      </c>
      <c r="O28" s="9" t="s">
        <v>77</v>
      </c>
      <c r="P28" s="9" t="s">
        <v>78</v>
      </c>
      <c r="Q28" s="54" t="s">
        <v>14</v>
      </c>
      <c r="R28" s="54" t="s">
        <v>88</v>
      </c>
      <c r="S28" s="55">
        <v>2</v>
      </c>
      <c r="T28" s="9" t="s">
        <v>106</v>
      </c>
      <c r="U28" s="54" t="s">
        <v>111</v>
      </c>
      <c r="V28" s="24" t="str">
        <f t="shared" si="1"/>
        <v>Structural</v>
      </c>
      <c r="W28" s="10" t="s">
        <v>82</v>
      </c>
      <c r="X28" s="10" t="s">
        <v>83</v>
      </c>
      <c r="Y28" s="10"/>
      <c r="Z28" s="10"/>
      <c r="AA28" s="10"/>
      <c r="AB28" s="22">
        <f>_xlfn.XLOOKUP(TIDP[[#This Row],[ACTIVITY ID]],Baseline[Activity Code],Baseline[Finish],"",0)</f>
        <v>46221</v>
      </c>
      <c r="AC28" s="10"/>
      <c r="AD28" s="10"/>
      <c r="AE28" s="10"/>
      <c r="AF28" s="10"/>
      <c r="AG28" s="10"/>
      <c r="AH28" s="11"/>
    </row>
    <row r="29" spans="1:34" x14ac:dyDescent="0.3">
      <c r="A29" s="43" t="str">
        <f t="shared" si="6"/>
        <v>QF01012-NES-C04518-SDW-FWR-00-Z00000-2B20045</v>
      </c>
      <c r="B29" s="52" t="s">
        <v>112</v>
      </c>
      <c r="C29" s="8"/>
      <c r="D29" s="8"/>
      <c r="E29" s="53" t="s">
        <v>69</v>
      </c>
      <c r="F29" s="54" t="s">
        <v>70</v>
      </c>
      <c r="G29" s="9" t="s">
        <v>71</v>
      </c>
      <c r="H29" s="71">
        <v>46219</v>
      </c>
      <c r="I29" s="25"/>
      <c r="J29" s="54" t="s">
        <v>72</v>
      </c>
      <c r="K29" s="9" t="s">
        <v>73</v>
      </c>
      <c r="L29" s="9" t="s">
        <v>74</v>
      </c>
      <c r="M29" s="54" t="s">
        <v>75</v>
      </c>
      <c r="N29" s="54" t="s">
        <v>76</v>
      </c>
      <c r="O29" s="9" t="s">
        <v>77</v>
      </c>
      <c r="P29" s="9" t="s">
        <v>78</v>
      </c>
      <c r="Q29" s="54" t="s">
        <v>14</v>
      </c>
      <c r="R29" s="54" t="s">
        <v>88</v>
      </c>
      <c r="S29" s="55">
        <v>2</v>
      </c>
      <c r="T29" s="9" t="s">
        <v>99</v>
      </c>
      <c r="U29" s="54" t="s">
        <v>113</v>
      </c>
      <c r="V29" s="24" t="str">
        <f t="shared" si="1"/>
        <v>Structural</v>
      </c>
      <c r="W29" s="10" t="s">
        <v>82</v>
      </c>
      <c r="X29" s="10" t="s">
        <v>83</v>
      </c>
      <c r="Y29" s="10"/>
      <c r="Z29" s="10"/>
      <c r="AA29" s="10"/>
      <c r="AB29" s="22">
        <f>_xlfn.XLOOKUP(TIDP[[#This Row],[ACTIVITY ID]],Baseline[Activity Code],Baseline[Finish],"",0)</f>
        <v>46221</v>
      </c>
      <c r="AC29" s="10"/>
      <c r="AD29" s="10"/>
      <c r="AE29" s="10"/>
      <c r="AF29" s="10"/>
      <c r="AG29" s="10"/>
      <c r="AH29" s="11"/>
    </row>
    <row r="30" spans="1:34" x14ac:dyDescent="0.3">
      <c r="A30" s="43" t="str">
        <f t="shared" si="6"/>
        <v>QF01012-NES-C04518-SDW-FWR-00-Z00000-2B20047</v>
      </c>
      <c r="B30" s="52" t="s">
        <v>114</v>
      </c>
      <c r="C30" s="8"/>
      <c r="D30" s="8"/>
      <c r="E30" s="53" t="s">
        <v>69</v>
      </c>
      <c r="F30" s="54" t="s">
        <v>70</v>
      </c>
      <c r="G30" s="9" t="s">
        <v>71</v>
      </c>
      <c r="H30" s="71">
        <v>46219</v>
      </c>
      <c r="I30" s="25"/>
      <c r="J30" s="54" t="s">
        <v>72</v>
      </c>
      <c r="K30" s="9" t="s">
        <v>73</v>
      </c>
      <c r="L30" s="9" t="s">
        <v>74</v>
      </c>
      <c r="M30" s="54" t="s">
        <v>75</v>
      </c>
      <c r="N30" s="54" t="s">
        <v>76</v>
      </c>
      <c r="O30" s="9" t="s">
        <v>77</v>
      </c>
      <c r="P30" s="9" t="s">
        <v>78</v>
      </c>
      <c r="Q30" s="54" t="s">
        <v>14</v>
      </c>
      <c r="R30" s="54" t="s">
        <v>88</v>
      </c>
      <c r="S30" s="55">
        <v>2</v>
      </c>
      <c r="T30" s="9" t="s">
        <v>99</v>
      </c>
      <c r="U30" s="54" t="s">
        <v>115</v>
      </c>
      <c r="V30" s="24" t="str">
        <f t="shared" si="1"/>
        <v>Structural</v>
      </c>
      <c r="W30" s="10" t="s">
        <v>82</v>
      </c>
      <c r="X30" s="10" t="s">
        <v>83</v>
      </c>
      <c r="Y30" s="10"/>
      <c r="Z30" s="10"/>
      <c r="AA30" s="10"/>
      <c r="AB30" s="22">
        <f>_xlfn.XLOOKUP(TIDP[[#This Row],[ACTIVITY ID]],Baseline[Activity Code],Baseline[Finish],"",0)</f>
        <v>46221</v>
      </c>
      <c r="AC30" s="10"/>
      <c r="AD30" s="10"/>
      <c r="AE30" s="10"/>
      <c r="AF30" s="10"/>
      <c r="AG30" s="10"/>
      <c r="AH30" s="11"/>
    </row>
    <row r="31" spans="1:34" x14ac:dyDescent="0.3">
      <c r="A31" s="43" t="str">
        <f t="shared" si="2"/>
        <v>QF01012-NES-C04518-SDW-FWR-00-Z00000-2ZZ0004</v>
      </c>
      <c r="B31" s="52" t="s">
        <v>116</v>
      </c>
      <c r="C31" s="8"/>
      <c r="D31" s="8"/>
      <c r="E31" s="53" t="s">
        <v>69</v>
      </c>
      <c r="F31" s="54" t="s">
        <v>70</v>
      </c>
      <c r="G31" s="9" t="s">
        <v>71</v>
      </c>
      <c r="H31" s="71">
        <v>46078</v>
      </c>
      <c r="I31" s="25"/>
      <c r="J31" s="54" t="s">
        <v>72</v>
      </c>
      <c r="K31" s="9" t="s">
        <v>73</v>
      </c>
      <c r="L31" s="9" t="s">
        <v>74</v>
      </c>
      <c r="M31" s="54" t="s">
        <v>75</v>
      </c>
      <c r="N31" s="54" t="s">
        <v>76</v>
      </c>
      <c r="O31" s="9" t="s">
        <v>77</v>
      </c>
      <c r="P31" s="9" t="s">
        <v>78</v>
      </c>
      <c r="Q31" s="54" t="s">
        <v>14</v>
      </c>
      <c r="R31" s="54" t="s">
        <v>88</v>
      </c>
      <c r="S31" s="55">
        <v>2</v>
      </c>
      <c r="T31" s="9" t="s">
        <v>80</v>
      </c>
      <c r="U31" s="54" t="s">
        <v>117</v>
      </c>
      <c r="V31" s="24" t="str">
        <f t="shared" si="1"/>
        <v>Structural</v>
      </c>
      <c r="W31" s="10" t="s">
        <v>82</v>
      </c>
      <c r="X31" s="10" t="s">
        <v>83</v>
      </c>
      <c r="Y31" s="10"/>
      <c r="Z31" s="10"/>
      <c r="AA31" s="10"/>
      <c r="AB31" s="22">
        <f>_xlfn.XLOOKUP(TIDP[[#This Row],[ACTIVITY ID]],Baseline[Activity Code],Baseline[Finish],"",0)</f>
        <v>46221</v>
      </c>
      <c r="AC31" s="10"/>
      <c r="AD31" s="10"/>
      <c r="AE31" s="10"/>
      <c r="AF31" s="10"/>
      <c r="AG31" s="10"/>
      <c r="AH31" s="11"/>
    </row>
    <row r="32" spans="1:34" x14ac:dyDescent="0.3">
      <c r="A32" s="43" t="str">
        <f t="shared" si="2"/>
        <v>QF01012-NES-C04518-SDW-FWR-00-Z00000-2ZZ0005</v>
      </c>
      <c r="B32" s="52" t="s">
        <v>118</v>
      </c>
      <c r="C32" s="8"/>
      <c r="D32" s="8"/>
      <c r="E32" s="53" t="s">
        <v>69</v>
      </c>
      <c r="F32" s="54" t="s">
        <v>70</v>
      </c>
      <c r="G32" s="9" t="s">
        <v>71</v>
      </c>
      <c r="H32" s="71">
        <v>46078</v>
      </c>
      <c r="I32" s="25"/>
      <c r="J32" s="54" t="s">
        <v>72</v>
      </c>
      <c r="K32" s="9" t="s">
        <v>73</v>
      </c>
      <c r="L32" s="9" t="s">
        <v>74</v>
      </c>
      <c r="M32" s="54" t="s">
        <v>75</v>
      </c>
      <c r="N32" s="54" t="s">
        <v>76</v>
      </c>
      <c r="O32" s="9" t="s">
        <v>77</v>
      </c>
      <c r="P32" s="9" t="s">
        <v>78</v>
      </c>
      <c r="Q32" s="54" t="s">
        <v>14</v>
      </c>
      <c r="R32" s="54" t="s">
        <v>88</v>
      </c>
      <c r="S32" s="55">
        <v>2</v>
      </c>
      <c r="T32" s="9" t="s">
        <v>80</v>
      </c>
      <c r="U32" s="54" t="s">
        <v>119</v>
      </c>
      <c r="V32" s="24" t="str">
        <f t="shared" si="1"/>
        <v>Structural</v>
      </c>
      <c r="W32" s="10" t="s">
        <v>82</v>
      </c>
      <c r="X32" s="10" t="s">
        <v>83</v>
      </c>
      <c r="Y32" s="10"/>
      <c r="Z32" s="10"/>
      <c r="AA32" s="10"/>
      <c r="AB32" s="22">
        <f>_xlfn.XLOOKUP(TIDP[[#This Row],[ACTIVITY ID]],Baseline[Activity Code],Baseline[Finish],"",0)</f>
        <v>46221</v>
      </c>
      <c r="AC32" s="10"/>
      <c r="AD32" s="10"/>
      <c r="AE32" s="10"/>
      <c r="AF32" s="10"/>
      <c r="AG32" s="10"/>
      <c r="AH32" s="11"/>
    </row>
    <row r="33" spans="1:34" x14ac:dyDescent="0.3">
      <c r="A33" s="43" t="str">
        <f t="shared" si="2"/>
        <v>QF01012-NES-C04518-SDW-FWR-00-Z00000-2ZZ0006</v>
      </c>
      <c r="B33" s="52" t="s">
        <v>120</v>
      </c>
      <c r="C33" s="8"/>
      <c r="D33" s="8"/>
      <c r="E33" s="53" t="s">
        <v>69</v>
      </c>
      <c r="F33" s="54" t="s">
        <v>70</v>
      </c>
      <c r="G33" s="9" t="s">
        <v>71</v>
      </c>
      <c r="H33" s="71">
        <v>46078</v>
      </c>
      <c r="I33" s="25"/>
      <c r="J33" s="54" t="s">
        <v>72</v>
      </c>
      <c r="K33" s="9" t="s">
        <v>73</v>
      </c>
      <c r="L33" s="9" t="s">
        <v>74</v>
      </c>
      <c r="M33" s="54" t="s">
        <v>75</v>
      </c>
      <c r="N33" s="54" t="s">
        <v>76</v>
      </c>
      <c r="O33" s="9" t="s">
        <v>77</v>
      </c>
      <c r="P33" s="9" t="s">
        <v>78</v>
      </c>
      <c r="Q33" s="54" t="s">
        <v>14</v>
      </c>
      <c r="R33" s="54" t="s">
        <v>88</v>
      </c>
      <c r="S33" s="55">
        <v>2</v>
      </c>
      <c r="T33" s="9" t="s">
        <v>80</v>
      </c>
      <c r="U33" s="54" t="s">
        <v>121</v>
      </c>
      <c r="V33" s="24" t="str">
        <f t="shared" si="1"/>
        <v>Structural</v>
      </c>
      <c r="W33" s="10" t="s">
        <v>82</v>
      </c>
      <c r="X33" s="10" t="s">
        <v>83</v>
      </c>
      <c r="Y33" s="10"/>
      <c r="Z33" s="10"/>
      <c r="AA33" s="10"/>
      <c r="AB33" s="22">
        <f>_xlfn.XLOOKUP(TIDP[[#This Row],[ACTIVITY ID]],Baseline[Activity Code],Baseline[Finish],"",0)</f>
        <v>46221</v>
      </c>
      <c r="AC33" s="10"/>
      <c r="AD33" s="10"/>
      <c r="AE33" s="10"/>
      <c r="AF33" s="10"/>
      <c r="AG33" s="10"/>
      <c r="AH33" s="11"/>
    </row>
    <row r="34" spans="1:34" x14ac:dyDescent="0.3">
      <c r="A34" s="43" t="str">
        <f t="shared" si="2"/>
        <v>QF01012-NES-C04518-SDW-FWR-00-Z00000-2ZZ0007</v>
      </c>
      <c r="B34" s="52" t="s">
        <v>122</v>
      </c>
      <c r="C34" s="8"/>
      <c r="D34" s="8"/>
      <c r="E34" s="53" t="s">
        <v>69</v>
      </c>
      <c r="F34" s="54" t="s">
        <v>70</v>
      </c>
      <c r="G34" s="9" t="s">
        <v>71</v>
      </c>
      <c r="H34" s="71">
        <v>46078</v>
      </c>
      <c r="I34" s="25"/>
      <c r="J34" s="54" t="s">
        <v>72</v>
      </c>
      <c r="K34" s="9" t="s">
        <v>73</v>
      </c>
      <c r="L34" s="9" t="s">
        <v>74</v>
      </c>
      <c r="M34" s="54" t="s">
        <v>75</v>
      </c>
      <c r="N34" s="54" t="s">
        <v>76</v>
      </c>
      <c r="O34" s="9" t="s">
        <v>77</v>
      </c>
      <c r="P34" s="9" t="s">
        <v>78</v>
      </c>
      <c r="Q34" s="54" t="s">
        <v>14</v>
      </c>
      <c r="R34" s="54" t="s">
        <v>88</v>
      </c>
      <c r="S34" s="55">
        <v>2</v>
      </c>
      <c r="T34" s="9" t="s">
        <v>80</v>
      </c>
      <c r="U34" s="54" t="s">
        <v>123</v>
      </c>
      <c r="V34" s="24" t="str">
        <f t="shared" si="1"/>
        <v>Structural</v>
      </c>
      <c r="W34" s="10" t="s">
        <v>82</v>
      </c>
      <c r="X34" s="10" t="s">
        <v>83</v>
      </c>
      <c r="Y34" s="10"/>
      <c r="Z34" s="10"/>
      <c r="AA34" s="10"/>
      <c r="AB34" s="22">
        <f>_xlfn.XLOOKUP(TIDP[[#This Row],[ACTIVITY ID]],Baseline[Activity Code],Baseline[Finish],"",0)</f>
        <v>46221</v>
      </c>
      <c r="AC34" s="10"/>
      <c r="AD34" s="10"/>
      <c r="AE34" s="10"/>
      <c r="AF34" s="10"/>
      <c r="AG34" s="10"/>
      <c r="AH34" s="11"/>
    </row>
    <row r="35" spans="1:34" x14ac:dyDescent="0.3">
      <c r="A35" s="43" t="str">
        <f t="shared" si="2"/>
        <v>QF01012-NES-C04518-SDW-FWR-00-Z00000-2ZZ0008</v>
      </c>
      <c r="B35" s="52" t="s">
        <v>124</v>
      </c>
      <c r="C35" s="8"/>
      <c r="D35" s="8"/>
      <c r="E35" s="53" t="s">
        <v>69</v>
      </c>
      <c r="F35" s="54" t="s">
        <v>70</v>
      </c>
      <c r="G35" s="9" t="s">
        <v>71</v>
      </c>
      <c r="H35" s="71">
        <v>46078</v>
      </c>
      <c r="I35" s="25"/>
      <c r="J35" s="54" t="s">
        <v>72</v>
      </c>
      <c r="K35" s="9" t="s">
        <v>73</v>
      </c>
      <c r="L35" s="9" t="s">
        <v>74</v>
      </c>
      <c r="M35" s="54" t="s">
        <v>75</v>
      </c>
      <c r="N35" s="54" t="s">
        <v>76</v>
      </c>
      <c r="O35" s="9" t="s">
        <v>77</v>
      </c>
      <c r="P35" s="9" t="s">
        <v>78</v>
      </c>
      <c r="Q35" s="54" t="s">
        <v>14</v>
      </c>
      <c r="R35" s="54" t="s">
        <v>88</v>
      </c>
      <c r="S35" s="55">
        <v>2</v>
      </c>
      <c r="T35" s="9" t="s">
        <v>80</v>
      </c>
      <c r="U35" s="54" t="s">
        <v>125</v>
      </c>
      <c r="V35" s="24" t="str">
        <f t="shared" si="1"/>
        <v>Structural</v>
      </c>
      <c r="W35" s="10" t="s">
        <v>82</v>
      </c>
      <c r="X35" s="10" t="s">
        <v>83</v>
      </c>
      <c r="Y35" s="10"/>
      <c r="Z35" s="10"/>
      <c r="AA35" s="10"/>
      <c r="AB35" s="22">
        <f>_xlfn.XLOOKUP(TIDP[[#This Row],[ACTIVITY ID]],Baseline[Activity Code],Baseline[Finish],"",0)</f>
        <v>46221</v>
      </c>
      <c r="AC35" s="10"/>
      <c r="AD35" s="10"/>
      <c r="AE35" s="10"/>
      <c r="AF35" s="10"/>
      <c r="AG35" s="10"/>
      <c r="AH35" s="11"/>
    </row>
    <row r="36" spans="1:34" x14ac:dyDescent="0.3">
      <c r="A36" s="43" t="str">
        <f t="shared" si="2"/>
        <v>QF01012-NES-C04518-SDW-FWR-00-Z00000-2ZZ0009</v>
      </c>
      <c r="B36" s="52" t="s">
        <v>126</v>
      </c>
      <c r="C36" s="8"/>
      <c r="D36" s="8"/>
      <c r="E36" s="53" t="s">
        <v>69</v>
      </c>
      <c r="F36" s="54" t="s">
        <v>70</v>
      </c>
      <c r="G36" s="9" t="s">
        <v>71</v>
      </c>
      <c r="H36" s="71">
        <v>46078</v>
      </c>
      <c r="I36" s="25"/>
      <c r="J36" s="54" t="s">
        <v>72</v>
      </c>
      <c r="K36" s="9" t="s">
        <v>73</v>
      </c>
      <c r="L36" s="9" t="s">
        <v>74</v>
      </c>
      <c r="M36" s="54" t="s">
        <v>75</v>
      </c>
      <c r="N36" s="54" t="s">
        <v>76</v>
      </c>
      <c r="O36" s="9" t="s">
        <v>77</v>
      </c>
      <c r="P36" s="9" t="s">
        <v>78</v>
      </c>
      <c r="Q36" s="54" t="s">
        <v>14</v>
      </c>
      <c r="R36" s="54" t="s">
        <v>88</v>
      </c>
      <c r="S36" s="55">
        <v>2</v>
      </c>
      <c r="T36" s="9" t="s">
        <v>80</v>
      </c>
      <c r="U36" s="54" t="s">
        <v>127</v>
      </c>
      <c r="V36" s="24" t="str">
        <f t="shared" si="1"/>
        <v>Structural</v>
      </c>
      <c r="W36" s="10" t="s">
        <v>82</v>
      </c>
      <c r="X36" s="10" t="s">
        <v>83</v>
      </c>
      <c r="Y36" s="10"/>
      <c r="Z36" s="10"/>
      <c r="AA36" s="10"/>
      <c r="AB36" s="22">
        <f>_xlfn.XLOOKUP(TIDP[[#This Row],[ACTIVITY ID]],Baseline[Activity Code],Baseline[Finish],"",0)</f>
        <v>46221</v>
      </c>
      <c r="AC36" s="10"/>
      <c r="AD36" s="10"/>
      <c r="AE36" s="10"/>
      <c r="AF36" s="10"/>
      <c r="AG36" s="10"/>
      <c r="AH36" s="11"/>
    </row>
    <row r="37" spans="1:34" x14ac:dyDescent="0.3">
      <c r="A37" s="43" t="str">
        <f t="shared" si="2"/>
        <v>QF01012-NES-C04518-SDW-FWR-00-Z00000-2ZZ0010</v>
      </c>
      <c r="B37" s="52" t="s">
        <v>128</v>
      </c>
      <c r="C37" s="8"/>
      <c r="D37" s="8"/>
      <c r="E37" s="53" t="s">
        <v>69</v>
      </c>
      <c r="F37" s="54" t="s">
        <v>70</v>
      </c>
      <c r="G37" s="9" t="s">
        <v>71</v>
      </c>
      <c r="H37" s="71">
        <v>46078</v>
      </c>
      <c r="I37" s="25"/>
      <c r="J37" s="54" t="s">
        <v>72</v>
      </c>
      <c r="K37" s="9" t="s">
        <v>73</v>
      </c>
      <c r="L37" s="9" t="s">
        <v>74</v>
      </c>
      <c r="M37" s="54" t="s">
        <v>75</v>
      </c>
      <c r="N37" s="54" t="s">
        <v>76</v>
      </c>
      <c r="O37" s="9" t="s">
        <v>77</v>
      </c>
      <c r="P37" s="9" t="s">
        <v>78</v>
      </c>
      <c r="Q37" s="54" t="s">
        <v>14</v>
      </c>
      <c r="R37" s="54" t="s">
        <v>88</v>
      </c>
      <c r="S37" s="55">
        <v>2</v>
      </c>
      <c r="T37" s="9" t="s">
        <v>80</v>
      </c>
      <c r="U37" s="54" t="s">
        <v>129</v>
      </c>
      <c r="V37" s="24" t="str">
        <f t="shared" si="1"/>
        <v>Structural</v>
      </c>
      <c r="W37" s="10" t="s">
        <v>82</v>
      </c>
      <c r="X37" s="10" t="s">
        <v>83</v>
      </c>
      <c r="Y37" s="10"/>
      <c r="Z37" s="10"/>
      <c r="AA37" s="10"/>
      <c r="AB37" s="22">
        <f>_xlfn.XLOOKUP(TIDP[[#This Row],[ACTIVITY ID]],Baseline[Activity Code],Baseline[Finish],"",0)</f>
        <v>46221</v>
      </c>
      <c r="AC37" s="10"/>
      <c r="AD37" s="10"/>
      <c r="AE37" s="10"/>
      <c r="AF37" s="10"/>
      <c r="AG37" s="10"/>
      <c r="AH37" s="11"/>
    </row>
    <row r="38" spans="1:34" x14ac:dyDescent="0.3">
      <c r="A38" s="43" t="str">
        <f t="shared" si="2"/>
        <v>QF01012-NES-C04518-SDW-FWR-00-Z00000-2ZZ0011</v>
      </c>
      <c r="B38" s="52" t="s">
        <v>130</v>
      </c>
      <c r="C38" s="8"/>
      <c r="D38" s="8"/>
      <c r="E38" s="53" t="s">
        <v>69</v>
      </c>
      <c r="F38" s="54" t="s">
        <v>70</v>
      </c>
      <c r="G38" s="9" t="s">
        <v>71</v>
      </c>
      <c r="H38" s="71">
        <v>46078</v>
      </c>
      <c r="I38" s="25"/>
      <c r="J38" s="54" t="s">
        <v>72</v>
      </c>
      <c r="K38" s="9" t="s">
        <v>73</v>
      </c>
      <c r="L38" s="9" t="s">
        <v>74</v>
      </c>
      <c r="M38" s="54" t="s">
        <v>75</v>
      </c>
      <c r="N38" s="54" t="s">
        <v>76</v>
      </c>
      <c r="O38" s="9" t="s">
        <v>77</v>
      </c>
      <c r="P38" s="9" t="s">
        <v>78</v>
      </c>
      <c r="Q38" s="54" t="s">
        <v>14</v>
      </c>
      <c r="R38" s="54" t="s">
        <v>88</v>
      </c>
      <c r="S38" s="55">
        <v>2</v>
      </c>
      <c r="T38" s="9" t="s">
        <v>80</v>
      </c>
      <c r="U38" s="54" t="s">
        <v>131</v>
      </c>
      <c r="V38" s="24" t="str">
        <f t="shared" si="1"/>
        <v>Structural</v>
      </c>
      <c r="W38" s="10" t="s">
        <v>82</v>
      </c>
      <c r="X38" s="10" t="s">
        <v>83</v>
      </c>
      <c r="Y38" s="10"/>
      <c r="Z38" s="10"/>
      <c r="AA38" s="10"/>
      <c r="AB38" s="22">
        <f>_xlfn.XLOOKUP(TIDP[[#This Row],[ACTIVITY ID]],Baseline[Activity Code],Baseline[Finish],"",0)</f>
        <v>46221</v>
      </c>
      <c r="AC38" s="10"/>
      <c r="AD38" s="10"/>
      <c r="AE38" s="10"/>
      <c r="AF38" s="10"/>
      <c r="AG38" s="10"/>
      <c r="AH38" s="11"/>
    </row>
    <row r="39" spans="1:34" x14ac:dyDescent="0.3">
      <c r="A39" s="43" t="str">
        <f t="shared" si="2"/>
        <v>QF01012-NES-C04518-SDW-FWR-00-Z00000-2ZZ0012</v>
      </c>
      <c r="B39" s="52" t="s">
        <v>132</v>
      </c>
      <c r="C39" s="8"/>
      <c r="D39" s="8"/>
      <c r="E39" s="53" t="s">
        <v>69</v>
      </c>
      <c r="F39" s="54" t="s">
        <v>70</v>
      </c>
      <c r="G39" s="9" t="s">
        <v>71</v>
      </c>
      <c r="H39" s="71">
        <v>46078</v>
      </c>
      <c r="I39" s="25"/>
      <c r="J39" s="54" t="s">
        <v>72</v>
      </c>
      <c r="K39" s="9" t="s">
        <v>73</v>
      </c>
      <c r="L39" s="9" t="s">
        <v>74</v>
      </c>
      <c r="M39" s="54" t="s">
        <v>75</v>
      </c>
      <c r="N39" s="54" t="s">
        <v>76</v>
      </c>
      <c r="O39" s="9" t="s">
        <v>77</v>
      </c>
      <c r="P39" s="9" t="s">
        <v>78</v>
      </c>
      <c r="Q39" s="54" t="s">
        <v>14</v>
      </c>
      <c r="R39" s="54" t="s">
        <v>88</v>
      </c>
      <c r="S39" s="55">
        <v>2</v>
      </c>
      <c r="T39" s="9" t="s">
        <v>80</v>
      </c>
      <c r="U39" s="54" t="s">
        <v>133</v>
      </c>
      <c r="V39" s="24" t="str">
        <f t="shared" si="1"/>
        <v>Structural</v>
      </c>
      <c r="W39" s="10" t="s">
        <v>82</v>
      </c>
      <c r="X39" s="10" t="s">
        <v>83</v>
      </c>
      <c r="Y39" s="10"/>
      <c r="Z39" s="10"/>
      <c r="AA39" s="10"/>
      <c r="AB39" s="22">
        <f>_xlfn.XLOOKUP(TIDP[[#This Row],[ACTIVITY ID]],Baseline[Activity Code],Baseline[Finish],"",0)</f>
        <v>46221</v>
      </c>
      <c r="AC39" s="10"/>
      <c r="AD39" s="10"/>
      <c r="AE39" s="10"/>
      <c r="AF39" s="10"/>
      <c r="AG39" s="10"/>
      <c r="AH39" s="11"/>
    </row>
    <row r="40" spans="1:34" x14ac:dyDescent="0.3">
      <c r="A40" s="43" t="str">
        <f t="shared" si="2"/>
        <v>QF01012-NES-C04518-SDW-FWR-00-Z00000-2ZZ0013</v>
      </c>
      <c r="B40" s="52" t="s">
        <v>134</v>
      </c>
      <c r="C40" s="8"/>
      <c r="D40" s="8"/>
      <c r="E40" s="53" t="s">
        <v>69</v>
      </c>
      <c r="F40" s="54" t="s">
        <v>70</v>
      </c>
      <c r="G40" s="9" t="s">
        <v>71</v>
      </c>
      <c r="H40" s="71">
        <v>46078</v>
      </c>
      <c r="I40" s="25"/>
      <c r="J40" s="54" t="s">
        <v>72</v>
      </c>
      <c r="K40" s="9" t="s">
        <v>73</v>
      </c>
      <c r="L40" s="9" t="s">
        <v>74</v>
      </c>
      <c r="M40" s="54" t="s">
        <v>75</v>
      </c>
      <c r="N40" s="54" t="s">
        <v>76</v>
      </c>
      <c r="O40" s="9" t="s">
        <v>77</v>
      </c>
      <c r="P40" s="9" t="s">
        <v>78</v>
      </c>
      <c r="Q40" s="54" t="s">
        <v>14</v>
      </c>
      <c r="R40" s="54" t="s">
        <v>88</v>
      </c>
      <c r="S40" s="55">
        <v>2</v>
      </c>
      <c r="T40" s="9" t="s">
        <v>80</v>
      </c>
      <c r="U40" s="54" t="s">
        <v>135</v>
      </c>
      <c r="V40" s="24" t="str">
        <f t="shared" si="1"/>
        <v>Structural</v>
      </c>
      <c r="W40" s="10" t="s">
        <v>82</v>
      </c>
      <c r="X40" s="10" t="s">
        <v>83</v>
      </c>
      <c r="Y40" s="10"/>
      <c r="Z40" s="10"/>
      <c r="AA40" s="10"/>
      <c r="AB40" s="22">
        <f>_xlfn.XLOOKUP(TIDP[[#This Row],[ACTIVITY ID]],Baseline[Activity Code],Baseline[Finish],"",0)</f>
        <v>46221</v>
      </c>
      <c r="AC40" s="10"/>
      <c r="AD40" s="10"/>
      <c r="AE40" s="10"/>
      <c r="AF40" s="10"/>
      <c r="AG40" s="10"/>
      <c r="AH40" s="11"/>
    </row>
    <row r="41" spans="1:34" x14ac:dyDescent="0.3">
      <c r="A41" s="43" t="str">
        <f t="shared" si="2"/>
        <v>QF01012-NES-C04518-SDW-FWR-00-Z00000-2ZZ0014</v>
      </c>
      <c r="B41" s="52" t="s">
        <v>136</v>
      </c>
      <c r="C41" s="8"/>
      <c r="D41" s="8"/>
      <c r="E41" s="53" t="s">
        <v>69</v>
      </c>
      <c r="F41" s="54" t="s">
        <v>70</v>
      </c>
      <c r="G41" s="9" t="s">
        <v>71</v>
      </c>
      <c r="H41" s="71">
        <v>46078</v>
      </c>
      <c r="I41" s="25"/>
      <c r="J41" s="54" t="s">
        <v>72</v>
      </c>
      <c r="K41" s="9" t="s">
        <v>73</v>
      </c>
      <c r="L41" s="9" t="s">
        <v>74</v>
      </c>
      <c r="M41" s="54" t="s">
        <v>75</v>
      </c>
      <c r="N41" s="54" t="s">
        <v>76</v>
      </c>
      <c r="O41" s="9" t="s">
        <v>77</v>
      </c>
      <c r="P41" s="9" t="s">
        <v>78</v>
      </c>
      <c r="Q41" s="54" t="s">
        <v>14</v>
      </c>
      <c r="R41" s="54" t="s">
        <v>88</v>
      </c>
      <c r="S41" s="55">
        <v>2</v>
      </c>
      <c r="T41" s="9" t="s">
        <v>80</v>
      </c>
      <c r="U41" s="54" t="s">
        <v>137</v>
      </c>
      <c r="V41" s="24" t="str">
        <f t="shared" si="1"/>
        <v>Structural</v>
      </c>
      <c r="W41" s="10" t="s">
        <v>82</v>
      </c>
      <c r="X41" s="10" t="s">
        <v>83</v>
      </c>
      <c r="Y41" s="10"/>
      <c r="Z41" s="10"/>
      <c r="AA41" s="10"/>
      <c r="AB41" s="22">
        <f>_xlfn.XLOOKUP(TIDP[[#This Row],[ACTIVITY ID]],Baseline[Activity Code],Baseline[Finish],"",0)</f>
        <v>46221</v>
      </c>
      <c r="AC41" s="10"/>
      <c r="AD41" s="10"/>
      <c r="AE41" s="10"/>
      <c r="AF41" s="10"/>
      <c r="AG41" s="10"/>
      <c r="AH41" s="11"/>
    </row>
    <row r="42" spans="1:34" x14ac:dyDescent="0.3">
      <c r="A42" s="43" t="str">
        <f t="shared" si="2"/>
        <v>QF01012-NES-C04518-SDW-FWR-00-Z00000-2ZZ0015</v>
      </c>
      <c r="B42" s="52" t="s">
        <v>138</v>
      </c>
      <c r="C42" s="8"/>
      <c r="D42" s="8"/>
      <c r="E42" s="53" t="s">
        <v>69</v>
      </c>
      <c r="F42" s="54" t="s">
        <v>70</v>
      </c>
      <c r="G42" s="9" t="s">
        <v>71</v>
      </c>
      <c r="H42" s="71">
        <v>46078</v>
      </c>
      <c r="I42" s="25"/>
      <c r="J42" s="54" t="s">
        <v>72</v>
      </c>
      <c r="K42" s="9" t="s">
        <v>73</v>
      </c>
      <c r="L42" s="9" t="s">
        <v>74</v>
      </c>
      <c r="M42" s="54" t="s">
        <v>75</v>
      </c>
      <c r="N42" s="54" t="s">
        <v>76</v>
      </c>
      <c r="O42" s="9" t="s">
        <v>77</v>
      </c>
      <c r="P42" s="9" t="s">
        <v>78</v>
      </c>
      <c r="Q42" s="54" t="s">
        <v>14</v>
      </c>
      <c r="R42" s="54" t="s">
        <v>88</v>
      </c>
      <c r="S42" s="55">
        <v>2</v>
      </c>
      <c r="T42" s="9" t="s">
        <v>80</v>
      </c>
      <c r="U42" s="54" t="s">
        <v>139</v>
      </c>
      <c r="V42" s="24" t="str">
        <f t="shared" si="1"/>
        <v>Structural</v>
      </c>
      <c r="W42" s="10" t="s">
        <v>82</v>
      </c>
      <c r="X42" s="10" t="s">
        <v>83</v>
      </c>
      <c r="Y42" s="10"/>
      <c r="Z42" s="10"/>
      <c r="AA42" s="10"/>
      <c r="AB42" s="22">
        <f>_xlfn.XLOOKUP(TIDP[[#This Row],[ACTIVITY ID]],Baseline[Activity Code],Baseline[Finish],"",0)</f>
        <v>46221</v>
      </c>
      <c r="AC42" s="10"/>
      <c r="AD42" s="10"/>
      <c r="AE42" s="10"/>
      <c r="AF42" s="10"/>
      <c r="AG42" s="10"/>
      <c r="AH42" s="11"/>
    </row>
    <row r="43" spans="1:34" x14ac:dyDescent="0.3">
      <c r="A43" s="43" t="str">
        <f t="shared" si="2"/>
        <v>QF01012-NES-C04518-SDW-FWR-00-Z00000-2ZZ0016</v>
      </c>
      <c r="B43" s="52" t="s">
        <v>140</v>
      </c>
      <c r="C43" s="8"/>
      <c r="D43" s="8"/>
      <c r="E43" s="53" t="s">
        <v>69</v>
      </c>
      <c r="F43" s="54" t="s">
        <v>70</v>
      </c>
      <c r="G43" s="9" t="s">
        <v>141</v>
      </c>
      <c r="H43" s="71">
        <v>46033</v>
      </c>
      <c r="I43" s="25"/>
      <c r="J43" s="54" t="s">
        <v>72</v>
      </c>
      <c r="K43" s="9" t="s">
        <v>142</v>
      </c>
      <c r="L43" s="9" t="s">
        <v>74</v>
      </c>
      <c r="M43" s="54" t="s">
        <v>75</v>
      </c>
      <c r="N43" s="54" t="s">
        <v>76</v>
      </c>
      <c r="O43" s="9" t="s">
        <v>77</v>
      </c>
      <c r="P43" s="9" t="s">
        <v>78</v>
      </c>
      <c r="Q43" s="54" t="s">
        <v>14</v>
      </c>
      <c r="R43" s="54" t="s">
        <v>88</v>
      </c>
      <c r="S43" s="55">
        <v>2</v>
      </c>
      <c r="T43" s="9" t="s">
        <v>80</v>
      </c>
      <c r="U43" s="54" t="s">
        <v>143</v>
      </c>
      <c r="V43" s="24" t="str">
        <f t="shared" si="1"/>
        <v>Structural</v>
      </c>
      <c r="W43" s="10" t="s">
        <v>82</v>
      </c>
      <c r="X43" s="10" t="s">
        <v>83</v>
      </c>
      <c r="Y43" s="10"/>
      <c r="Z43" s="10"/>
      <c r="AA43" s="10"/>
      <c r="AB43" s="22">
        <f>_xlfn.XLOOKUP(TIDP[[#This Row],[ACTIVITY ID]],Baseline[Activity Code],Baseline[Finish],"",0)</f>
        <v>46221</v>
      </c>
      <c r="AC43" s="10"/>
      <c r="AD43" s="10"/>
      <c r="AE43" s="10"/>
      <c r="AF43" s="10"/>
      <c r="AG43" s="10"/>
      <c r="AH43" s="11"/>
    </row>
    <row r="44" spans="1:34" x14ac:dyDescent="0.3">
      <c r="A44" s="43" t="str">
        <f t="shared" si="2"/>
        <v>QF01012-NES-C04518-SDW-FWR-00-Z00000-2ZZ0017</v>
      </c>
      <c r="B44" s="52" t="s">
        <v>120</v>
      </c>
      <c r="C44" s="8"/>
      <c r="D44" s="8"/>
      <c r="E44" s="53" t="s">
        <v>69</v>
      </c>
      <c r="F44" s="54" t="s">
        <v>70</v>
      </c>
      <c r="G44" s="9" t="s">
        <v>141</v>
      </c>
      <c r="H44" s="71">
        <v>46033</v>
      </c>
      <c r="I44" s="25"/>
      <c r="J44" s="54" t="s">
        <v>72</v>
      </c>
      <c r="K44" s="9" t="s">
        <v>142</v>
      </c>
      <c r="L44" s="9" t="s">
        <v>74</v>
      </c>
      <c r="M44" s="54" t="s">
        <v>75</v>
      </c>
      <c r="N44" s="54" t="s">
        <v>76</v>
      </c>
      <c r="O44" s="9" t="s">
        <v>77</v>
      </c>
      <c r="P44" s="9" t="s">
        <v>78</v>
      </c>
      <c r="Q44" s="54" t="s">
        <v>14</v>
      </c>
      <c r="R44" s="54" t="s">
        <v>88</v>
      </c>
      <c r="S44" s="55">
        <v>2</v>
      </c>
      <c r="T44" s="9" t="s">
        <v>80</v>
      </c>
      <c r="U44" s="54" t="s">
        <v>144</v>
      </c>
      <c r="V44" s="24" t="str">
        <f t="shared" si="1"/>
        <v>Structural</v>
      </c>
      <c r="W44" s="10" t="s">
        <v>82</v>
      </c>
      <c r="X44" s="10" t="s">
        <v>83</v>
      </c>
      <c r="Y44" s="10"/>
      <c r="Z44" s="10"/>
      <c r="AA44" s="10"/>
      <c r="AB44" s="22">
        <f>_xlfn.XLOOKUP(TIDP[[#This Row],[ACTIVITY ID]],Baseline[Activity Code],Baseline[Finish],"",0)</f>
        <v>46221</v>
      </c>
      <c r="AC44" s="10"/>
      <c r="AD44" s="10"/>
      <c r="AE44" s="10"/>
      <c r="AF44" s="10"/>
      <c r="AG44" s="10"/>
      <c r="AH44" s="11"/>
    </row>
    <row r="45" spans="1:34" x14ac:dyDescent="0.3">
      <c r="A45" s="43" t="str">
        <f t="shared" si="2"/>
        <v>QF01012-NES-C04518-SDW-FWR-00-Z00000-2ZZ0018</v>
      </c>
      <c r="B45" s="67" t="s">
        <v>122</v>
      </c>
      <c r="C45" s="8"/>
      <c r="D45" s="8"/>
      <c r="E45" s="53" t="s">
        <v>69</v>
      </c>
      <c r="F45" s="54" t="s">
        <v>70</v>
      </c>
      <c r="G45" s="9" t="s">
        <v>141</v>
      </c>
      <c r="H45" s="72">
        <v>46348</v>
      </c>
      <c r="I45" s="25"/>
      <c r="J45" s="54" t="s">
        <v>72</v>
      </c>
      <c r="K45" s="9" t="s">
        <v>142</v>
      </c>
      <c r="L45" s="9" t="s">
        <v>74</v>
      </c>
      <c r="M45" s="54" t="s">
        <v>75</v>
      </c>
      <c r="N45" s="54" t="s">
        <v>76</v>
      </c>
      <c r="O45" s="9" t="s">
        <v>77</v>
      </c>
      <c r="P45" s="9" t="s">
        <v>78</v>
      </c>
      <c r="Q45" s="54" t="s">
        <v>14</v>
      </c>
      <c r="R45" s="54" t="s">
        <v>88</v>
      </c>
      <c r="S45" s="55">
        <v>2</v>
      </c>
      <c r="T45" s="9" t="s">
        <v>80</v>
      </c>
      <c r="U45" s="54" t="s">
        <v>145</v>
      </c>
      <c r="V45" s="24" t="str">
        <f t="shared" si="1"/>
        <v>Structural</v>
      </c>
      <c r="W45" s="10" t="s">
        <v>82</v>
      </c>
      <c r="X45" s="10" t="s">
        <v>83</v>
      </c>
      <c r="Y45" s="10"/>
      <c r="Z45" s="10"/>
      <c r="AA45" s="10"/>
      <c r="AB45" s="22">
        <f>_xlfn.XLOOKUP(TIDP[[#This Row],[ACTIVITY ID]],Baseline[Activity Code],Baseline[Finish],"",0)</f>
        <v>46221</v>
      </c>
      <c r="AC45" s="10"/>
      <c r="AD45" s="10"/>
      <c r="AE45" s="10"/>
      <c r="AF45" s="10"/>
      <c r="AG45" s="10"/>
      <c r="AH45" s="11"/>
    </row>
    <row r="46" spans="1:34" x14ac:dyDescent="0.3">
      <c r="A46" s="43" t="str">
        <f t="shared" si="2"/>
        <v>QF01012-NES-C04518-SDW-FWR-00-Z00000-2ZZ0019</v>
      </c>
      <c r="B46" s="67" t="s">
        <v>126</v>
      </c>
      <c r="C46" s="8"/>
      <c r="D46" s="8"/>
      <c r="E46" s="53" t="s">
        <v>69</v>
      </c>
      <c r="F46" s="54" t="s">
        <v>70</v>
      </c>
      <c r="G46" s="9" t="s">
        <v>141</v>
      </c>
      <c r="H46" s="72">
        <v>46349</v>
      </c>
      <c r="I46" s="25"/>
      <c r="J46" s="54" t="s">
        <v>72</v>
      </c>
      <c r="K46" s="9" t="s">
        <v>142</v>
      </c>
      <c r="L46" s="9" t="s">
        <v>74</v>
      </c>
      <c r="M46" s="54" t="s">
        <v>75</v>
      </c>
      <c r="N46" s="54" t="s">
        <v>76</v>
      </c>
      <c r="O46" s="9" t="s">
        <v>77</v>
      </c>
      <c r="P46" s="9" t="s">
        <v>78</v>
      </c>
      <c r="Q46" s="54" t="s">
        <v>14</v>
      </c>
      <c r="R46" s="54" t="s">
        <v>88</v>
      </c>
      <c r="S46" s="55">
        <v>2</v>
      </c>
      <c r="T46" s="9" t="s">
        <v>80</v>
      </c>
      <c r="U46" s="54" t="s">
        <v>146</v>
      </c>
      <c r="V46" s="24" t="str">
        <f t="shared" si="1"/>
        <v>Structural</v>
      </c>
      <c r="W46" s="10" t="s">
        <v>82</v>
      </c>
      <c r="X46" s="10" t="s">
        <v>83</v>
      </c>
      <c r="Y46" s="10"/>
      <c r="Z46" s="10"/>
      <c r="AA46" s="10"/>
      <c r="AB46" s="22">
        <f>_xlfn.XLOOKUP(TIDP[[#This Row],[ACTIVITY ID]],Baseline[Activity Code],Baseline[Finish],"",0)</f>
        <v>46221</v>
      </c>
      <c r="AC46" s="10"/>
      <c r="AD46" s="10"/>
      <c r="AE46" s="10"/>
      <c r="AF46" s="10"/>
      <c r="AG46" s="10"/>
      <c r="AH46" s="11"/>
    </row>
    <row r="47" spans="1:34" x14ac:dyDescent="0.3">
      <c r="A47" s="43" t="str">
        <f t="shared" si="2"/>
        <v>QF01012-NES-C04518-SDW-FWR-00-Z00000-2ZZ0020</v>
      </c>
      <c r="B47" s="67" t="s">
        <v>128</v>
      </c>
      <c r="C47" s="8"/>
      <c r="D47" s="8"/>
      <c r="E47" s="53" t="s">
        <v>69</v>
      </c>
      <c r="F47" s="54" t="s">
        <v>70</v>
      </c>
      <c r="G47" s="9" t="s">
        <v>141</v>
      </c>
      <c r="H47" s="72">
        <v>46350</v>
      </c>
      <c r="I47" s="25"/>
      <c r="J47" s="54" t="s">
        <v>72</v>
      </c>
      <c r="K47" s="9" t="s">
        <v>142</v>
      </c>
      <c r="L47" s="9" t="s">
        <v>74</v>
      </c>
      <c r="M47" s="54" t="s">
        <v>75</v>
      </c>
      <c r="N47" s="54" t="s">
        <v>76</v>
      </c>
      <c r="O47" s="9" t="s">
        <v>77</v>
      </c>
      <c r="P47" s="9" t="s">
        <v>78</v>
      </c>
      <c r="Q47" s="54" t="s">
        <v>14</v>
      </c>
      <c r="R47" s="54" t="s">
        <v>88</v>
      </c>
      <c r="S47" s="55">
        <v>2</v>
      </c>
      <c r="T47" s="9" t="s">
        <v>80</v>
      </c>
      <c r="U47" s="54" t="s">
        <v>147</v>
      </c>
      <c r="V47" s="24" t="str">
        <f t="shared" si="1"/>
        <v>Structural</v>
      </c>
      <c r="W47" s="10" t="s">
        <v>82</v>
      </c>
      <c r="X47" s="10" t="s">
        <v>83</v>
      </c>
      <c r="Y47" s="10"/>
      <c r="Z47" s="10"/>
      <c r="AA47" s="10"/>
      <c r="AB47" s="22">
        <f>_xlfn.XLOOKUP(TIDP[[#This Row],[ACTIVITY ID]],Baseline[Activity Code],Baseline[Finish],"",0)</f>
        <v>46221</v>
      </c>
      <c r="AC47" s="10"/>
      <c r="AD47" s="10"/>
      <c r="AE47" s="10"/>
      <c r="AF47" s="10"/>
      <c r="AG47" s="10"/>
      <c r="AH47" s="11"/>
    </row>
    <row r="48" spans="1:34" x14ac:dyDescent="0.3">
      <c r="A48" s="43" t="str">
        <f t="shared" si="2"/>
        <v>QF01012-NES-C04518-SDW-FWR-00-Z00000-2ZZ0021</v>
      </c>
      <c r="B48" s="67" t="s">
        <v>130</v>
      </c>
      <c r="C48" s="8"/>
      <c r="D48" s="8"/>
      <c r="E48" s="53" t="s">
        <v>69</v>
      </c>
      <c r="F48" s="54" t="s">
        <v>70</v>
      </c>
      <c r="G48" s="9" t="s">
        <v>141</v>
      </c>
      <c r="H48" s="72">
        <v>46351</v>
      </c>
      <c r="I48" s="25"/>
      <c r="J48" s="54" t="s">
        <v>72</v>
      </c>
      <c r="K48" s="9" t="s">
        <v>142</v>
      </c>
      <c r="L48" s="9" t="s">
        <v>74</v>
      </c>
      <c r="M48" s="54" t="s">
        <v>75</v>
      </c>
      <c r="N48" s="54" t="s">
        <v>76</v>
      </c>
      <c r="O48" s="9" t="s">
        <v>77</v>
      </c>
      <c r="P48" s="9" t="s">
        <v>78</v>
      </c>
      <c r="Q48" s="54" t="s">
        <v>14</v>
      </c>
      <c r="R48" s="54" t="s">
        <v>88</v>
      </c>
      <c r="S48" s="55">
        <v>2</v>
      </c>
      <c r="T48" s="9" t="s">
        <v>80</v>
      </c>
      <c r="U48" s="54" t="s">
        <v>148</v>
      </c>
      <c r="V48" s="24" t="str">
        <f t="shared" si="1"/>
        <v>Structural</v>
      </c>
      <c r="W48" s="10" t="s">
        <v>82</v>
      </c>
      <c r="X48" s="10" t="s">
        <v>83</v>
      </c>
      <c r="Y48" s="10"/>
      <c r="Z48" s="10"/>
      <c r="AA48" s="10"/>
      <c r="AB48" s="22">
        <f>_xlfn.XLOOKUP(TIDP[[#This Row],[ACTIVITY ID]],Baseline[Activity Code],Baseline[Finish],"",0)</f>
        <v>46221</v>
      </c>
      <c r="AC48" s="10"/>
      <c r="AD48" s="10"/>
      <c r="AE48" s="10"/>
      <c r="AF48" s="10"/>
      <c r="AG48" s="10"/>
      <c r="AH48" s="11"/>
    </row>
    <row r="49" spans="1:34" x14ac:dyDescent="0.3">
      <c r="A49" s="43" t="str">
        <f t="shared" si="2"/>
        <v>QF01012-NES-C04518-SDW-FWR-00-Z00000-2ZZ0022</v>
      </c>
      <c r="B49" s="67" t="s">
        <v>136</v>
      </c>
      <c r="C49" s="8"/>
      <c r="D49" s="8"/>
      <c r="E49" s="53" t="s">
        <v>69</v>
      </c>
      <c r="F49" s="54" t="s">
        <v>70</v>
      </c>
      <c r="G49" s="9" t="s">
        <v>141</v>
      </c>
      <c r="H49" s="72">
        <v>46352</v>
      </c>
      <c r="I49" s="25"/>
      <c r="J49" s="54" t="s">
        <v>72</v>
      </c>
      <c r="K49" s="9" t="s">
        <v>142</v>
      </c>
      <c r="L49" s="9" t="s">
        <v>74</v>
      </c>
      <c r="M49" s="54" t="s">
        <v>75</v>
      </c>
      <c r="N49" s="54" t="s">
        <v>76</v>
      </c>
      <c r="O49" s="9" t="s">
        <v>77</v>
      </c>
      <c r="P49" s="9" t="s">
        <v>78</v>
      </c>
      <c r="Q49" s="54" t="s">
        <v>14</v>
      </c>
      <c r="R49" s="54" t="s">
        <v>88</v>
      </c>
      <c r="S49" s="55">
        <v>2</v>
      </c>
      <c r="T49" s="9" t="s">
        <v>80</v>
      </c>
      <c r="U49" s="54" t="s">
        <v>149</v>
      </c>
      <c r="V49" s="24" t="str">
        <f t="shared" si="1"/>
        <v>Structural</v>
      </c>
      <c r="W49" s="10" t="s">
        <v>82</v>
      </c>
      <c r="X49" s="10" t="s">
        <v>83</v>
      </c>
      <c r="Y49" s="10"/>
      <c r="Z49" s="10"/>
      <c r="AA49" s="10"/>
      <c r="AB49" s="22">
        <f>_xlfn.XLOOKUP(TIDP[[#This Row],[ACTIVITY ID]],Baseline[Activity Code],Baseline[Finish],"",0)</f>
        <v>46221</v>
      </c>
      <c r="AC49" s="10"/>
      <c r="AD49" s="10"/>
      <c r="AE49" s="10"/>
      <c r="AF49" s="10"/>
      <c r="AG49" s="10"/>
      <c r="AH49" s="11"/>
    </row>
    <row r="50" spans="1:34" x14ac:dyDescent="0.3">
      <c r="A50" s="43" t="str">
        <f t="shared" si="2"/>
        <v>QF01012-NES-C04518-SDW-FWR-00-Z00000-2ZZ0023</v>
      </c>
      <c r="B50" s="67" t="s">
        <v>87</v>
      </c>
      <c r="C50" s="8"/>
      <c r="D50" s="8"/>
      <c r="E50" s="53" t="s">
        <v>69</v>
      </c>
      <c r="F50" s="54" t="s">
        <v>70</v>
      </c>
      <c r="G50" s="9" t="s">
        <v>71</v>
      </c>
      <c r="H50" s="72">
        <v>46353</v>
      </c>
      <c r="I50" s="25"/>
      <c r="J50" s="54" t="s">
        <v>72</v>
      </c>
      <c r="K50" s="9" t="s">
        <v>73</v>
      </c>
      <c r="L50" s="9" t="s">
        <v>74</v>
      </c>
      <c r="M50" s="54" t="s">
        <v>75</v>
      </c>
      <c r="N50" s="54" t="s">
        <v>76</v>
      </c>
      <c r="O50" s="9" t="s">
        <v>77</v>
      </c>
      <c r="P50" s="9" t="s">
        <v>78</v>
      </c>
      <c r="Q50" s="54" t="s">
        <v>14</v>
      </c>
      <c r="R50" s="54" t="s">
        <v>88</v>
      </c>
      <c r="S50" s="55">
        <v>2</v>
      </c>
      <c r="T50" s="9" t="s">
        <v>80</v>
      </c>
      <c r="U50" s="54" t="s">
        <v>150</v>
      </c>
      <c r="V50" s="24" t="str">
        <f t="shared" si="1"/>
        <v>Structural</v>
      </c>
      <c r="W50" s="10" t="s">
        <v>82</v>
      </c>
      <c r="X50" s="10" t="s">
        <v>83</v>
      </c>
      <c r="Y50" s="10"/>
      <c r="Z50" s="10"/>
      <c r="AA50" s="10"/>
      <c r="AB50" s="22">
        <f>_xlfn.XLOOKUP(TIDP[[#This Row],[ACTIVITY ID]],Baseline[Activity Code],Baseline[Finish],"",0)</f>
        <v>46221</v>
      </c>
      <c r="AC50" s="10"/>
      <c r="AD50" s="10"/>
      <c r="AE50" s="10"/>
      <c r="AF50" s="10"/>
      <c r="AG50" s="10"/>
      <c r="AH50" s="11"/>
    </row>
    <row r="51" spans="1:34" x14ac:dyDescent="0.3">
      <c r="A51" s="43" t="str">
        <f t="shared" si="2"/>
        <v>QF01012-NES-C04518-SDW-FWR-00-Z00000-2ZZ0024</v>
      </c>
      <c r="B51" s="67" t="s">
        <v>101</v>
      </c>
      <c r="C51" s="8"/>
      <c r="D51" s="8"/>
      <c r="E51" s="53" t="s">
        <v>69</v>
      </c>
      <c r="F51" s="54" t="s">
        <v>70</v>
      </c>
      <c r="G51" s="9" t="s">
        <v>71</v>
      </c>
      <c r="H51" s="72">
        <v>46354</v>
      </c>
      <c r="I51" s="25"/>
      <c r="J51" s="54" t="s">
        <v>72</v>
      </c>
      <c r="K51" s="9" t="s">
        <v>73</v>
      </c>
      <c r="L51" s="9" t="s">
        <v>74</v>
      </c>
      <c r="M51" s="54" t="s">
        <v>75</v>
      </c>
      <c r="N51" s="54" t="s">
        <v>76</v>
      </c>
      <c r="O51" s="9" t="s">
        <v>77</v>
      </c>
      <c r="P51" s="9" t="s">
        <v>78</v>
      </c>
      <c r="Q51" s="54" t="s">
        <v>14</v>
      </c>
      <c r="R51" s="54" t="s">
        <v>88</v>
      </c>
      <c r="S51" s="55">
        <v>2</v>
      </c>
      <c r="T51" s="9" t="s">
        <v>80</v>
      </c>
      <c r="U51" s="54" t="s">
        <v>151</v>
      </c>
      <c r="V51" s="24" t="str">
        <f t="shared" si="1"/>
        <v>Structural</v>
      </c>
      <c r="W51" s="10" t="s">
        <v>82</v>
      </c>
      <c r="X51" s="10" t="s">
        <v>83</v>
      </c>
      <c r="Y51" s="10"/>
      <c r="Z51" s="10"/>
      <c r="AA51" s="10"/>
      <c r="AB51" s="22">
        <f>_xlfn.XLOOKUP(TIDP[[#This Row],[ACTIVITY ID]],Baseline[Activity Code],Baseline[Finish],"",0)</f>
        <v>46221</v>
      </c>
      <c r="AC51" s="10"/>
      <c r="AD51" s="10"/>
      <c r="AE51" s="10"/>
      <c r="AF51" s="10"/>
      <c r="AG51" s="10"/>
      <c r="AH51" s="11"/>
    </row>
    <row r="52" spans="1:34" x14ac:dyDescent="0.3">
      <c r="A52" s="43" t="str">
        <f t="shared" si="2"/>
        <v>QF01012-NES-C04518-SDW-FWR-00-Z00000-2ZZ0025</v>
      </c>
      <c r="B52" s="67" t="s">
        <v>103</v>
      </c>
      <c r="C52" s="8"/>
      <c r="D52" s="8"/>
      <c r="E52" s="53" t="s">
        <v>69</v>
      </c>
      <c r="F52" s="54" t="s">
        <v>70</v>
      </c>
      <c r="G52" s="9" t="s">
        <v>71</v>
      </c>
      <c r="H52" s="72">
        <v>46355</v>
      </c>
      <c r="I52" s="25"/>
      <c r="J52" s="54" t="s">
        <v>72</v>
      </c>
      <c r="K52" s="9" t="s">
        <v>73</v>
      </c>
      <c r="L52" s="9" t="s">
        <v>74</v>
      </c>
      <c r="M52" s="54" t="s">
        <v>75</v>
      </c>
      <c r="N52" s="54" t="s">
        <v>76</v>
      </c>
      <c r="O52" s="9" t="s">
        <v>77</v>
      </c>
      <c r="P52" s="9" t="s">
        <v>78</v>
      </c>
      <c r="Q52" s="54" t="s">
        <v>14</v>
      </c>
      <c r="R52" s="54" t="s">
        <v>88</v>
      </c>
      <c r="S52" s="55">
        <v>2</v>
      </c>
      <c r="T52" s="9" t="s">
        <v>80</v>
      </c>
      <c r="U52" s="54" t="s">
        <v>152</v>
      </c>
      <c r="V52" s="24" t="str">
        <f t="shared" si="1"/>
        <v>Structural</v>
      </c>
      <c r="W52" s="10" t="s">
        <v>82</v>
      </c>
      <c r="X52" s="10" t="s">
        <v>83</v>
      </c>
      <c r="Y52" s="10"/>
      <c r="Z52" s="10"/>
      <c r="AA52" s="10"/>
      <c r="AB52" s="22">
        <f>_xlfn.XLOOKUP(TIDP[[#This Row],[ACTIVITY ID]],Baseline[Activity Code],Baseline[Finish],"",0)</f>
        <v>46221</v>
      </c>
      <c r="AC52" s="10"/>
      <c r="AD52" s="10"/>
      <c r="AE52" s="10"/>
      <c r="AF52" s="10"/>
      <c r="AG52" s="10"/>
      <c r="AH52" s="11"/>
    </row>
    <row r="53" spans="1:34" x14ac:dyDescent="0.3">
      <c r="A53" s="43" t="str">
        <f t="shared" si="2"/>
        <v>QF01012-NES-C04518-SDW-FWR-00-Z00000-2ZZ0026</v>
      </c>
      <c r="B53" s="67" t="s">
        <v>116</v>
      </c>
      <c r="C53" s="8"/>
      <c r="D53" s="8"/>
      <c r="E53" s="53" t="s">
        <v>69</v>
      </c>
      <c r="F53" s="54" t="s">
        <v>70</v>
      </c>
      <c r="G53" s="9" t="s">
        <v>71</v>
      </c>
      <c r="H53" s="72">
        <v>46356</v>
      </c>
      <c r="I53" s="25"/>
      <c r="J53" s="54" t="s">
        <v>72</v>
      </c>
      <c r="K53" s="9" t="s">
        <v>73</v>
      </c>
      <c r="L53" s="9" t="s">
        <v>74</v>
      </c>
      <c r="M53" s="54" t="s">
        <v>75</v>
      </c>
      <c r="N53" s="54" t="s">
        <v>76</v>
      </c>
      <c r="O53" s="9" t="s">
        <v>77</v>
      </c>
      <c r="P53" s="9" t="s">
        <v>78</v>
      </c>
      <c r="Q53" s="54" t="s">
        <v>14</v>
      </c>
      <c r="R53" s="54" t="s">
        <v>88</v>
      </c>
      <c r="S53" s="55">
        <v>2</v>
      </c>
      <c r="T53" s="9" t="s">
        <v>80</v>
      </c>
      <c r="U53" s="54" t="s">
        <v>153</v>
      </c>
      <c r="V53" s="24" t="str">
        <f t="shared" si="1"/>
        <v>Structural</v>
      </c>
      <c r="W53" s="10" t="s">
        <v>82</v>
      </c>
      <c r="X53" s="10" t="s">
        <v>83</v>
      </c>
      <c r="Y53" s="10"/>
      <c r="Z53" s="10"/>
      <c r="AA53" s="10"/>
      <c r="AB53" s="22">
        <f>_xlfn.XLOOKUP(TIDP[[#This Row],[ACTIVITY ID]],Baseline[Activity Code],Baseline[Finish],"",0)</f>
        <v>46221</v>
      </c>
      <c r="AC53" s="10"/>
      <c r="AD53" s="10"/>
      <c r="AE53" s="10"/>
      <c r="AF53" s="10"/>
      <c r="AG53" s="10"/>
      <c r="AH53" s="11"/>
    </row>
    <row r="54" spans="1:34" x14ac:dyDescent="0.3">
      <c r="A54" s="43" t="str">
        <f t="shared" si="2"/>
        <v>QF01012-NES-C04518-SDW-FWR-00-Z00000-2ZZ0027</v>
      </c>
      <c r="B54" s="67" t="s">
        <v>118</v>
      </c>
      <c r="C54" s="8"/>
      <c r="D54" s="8"/>
      <c r="E54" s="53" t="s">
        <v>69</v>
      </c>
      <c r="F54" s="54" t="s">
        <v>70</v>
      </c>
      <c r="G54" s="9" t="s">
        <v>71</v>
      </c>
      <c r="H54" s="72">
        <v>46357</v>
      </c>
      <c r="I54" s="25"/>
      <c r="J54" s="54" t="s">
        <v>72</v>
      </c>
      <c r="K54" s="9" t="s">
        <v>73</v>
      </c>
      <c r="L54" s="9" t="s">
        <v>74</v>
      </c>
      <c r="M54" s="54" t="s">
        <v>75</v>
      </c>
      <c r="N54" s="54" t="s">
        <v>76</v>
      </c>
      <c r="O54" s="9" t="s">
        <v>77</v>
      </c>
      <c r="P54" s="9" t="s">
        <v>78</v>
      </c>
      <c r="Q54" s="54" t="s">
        <v>14</v>
      </c>
      <c r="R54" s="54" t="s">
        <v>88</v>
      </c>
      <c r="S54" s="55">
        <v>2</v>
      </c>
      <c r="T54" s="9" t="s">
        <v>80</v>
      </c>
      <c r="U54" s="54" t="s">
        <v>154</v>
      </c>
      <c r="V54" s="24" t="str">
        <f t="shared" si="1"/>
        <v>Structural</v>
      </c>
      <c r="W54" s="10" t="s">
        <v>82</v>
      </c>
      <c r="X54" s="10" t="s">
        <v>83</v>
      </c>
      <c r="Y54" s="10"/>
      <c r="Z54" s="10"/>
      <c r="AA54" s="10"/>
      <c r="AB54" s="22">
        <f>_xlfn.XLOOKUP(TIDP[[#This Row],[ACTIVITY ID]],Baseline[Activity Code],Baseline[Finish],"",0)</f>
        <v>46221</v>
      </c>
      <c r="AC54" s="10"/>
      <c r="AD54" s="10"/>
      <c r="AE54" s="10"/>
      <c r="AF54" s="10"/>
      <c r="AG54" s="10"/>
      <c r="AH54" s="11"/>
    </row>
    <row r="55" spans="1:34" x14ac:dyDescent="0.3">
      <c r="A55" s="43" t="str">
        <f t="shared" si="2"/>
        <v>QF01012-NES-C04518-SDW-FWR-00-Z00000-2ZZ0028</v>
      </c>
      <c r="B55" s="67" t="s">
        <v>120</v>
      </c>
      <c r="C55" s="8"/>
      <c r="D55" s="8"/>
      <c r="E55" s="53" t="s">
        <v>69</v>
      </c>
      <c r="F55" s="54" t="s">
        <v>70</v>
      </c>
      <c r="G55" s="9" t="s">
        <v>71</v>
      </c>
      <c r="H55" s="72">
        <v>46358</v>
      </c>
      <c r="I55" s="25"/>
      <c r="J55" s="54" t="s">
        <v>72</v>
      </c>
      <c r="K55" s="9" t="s">
        <v>73</v>
      </c>
      <c r="L55" s="9" t="s">
        <v>74</v>
      </c>
      <c r="M55" s="54" t="s">
        <v>75</v>
      </c>
      <c r="N55" s="54" t="s">
        <v>76</v>
      </c>
      <c r="O55" s="9" t="s">
        <v>77</v>
      </c>
      <c r="P55" s="9" t="s">
        <v>78</v>
      </c>
      <c r="Q55" s="54" t="s">
        <v>14</v>
      </c>
      <c r="R55" s="54" t="s">
        <v>88</v>
      </c>
      <c r="S55" s="55">
        <v>2</v>
      </c>
      <c r="T55" s="9" t="s">
        <v>80</v>
      </c>
      <c r="U55" s="54" t="s">
        <v>155</v>
      </c>
      <c r="V55" s="24" t="str">
        <f t="shared" si="1"/>
        <v>Structural</v>
      </c>
      <c r="W55" s="10" t="s">
        <v>82</v>
      </c>
      <c r="X55" s="10" t="s">
        <v>83</v>
      </c>
      <c r="Y55" s="10"/>
      <c r="Z55" s="10"/>
      <c r="AA55" s="10"/>
      <c r="AB55" s="22">
        <f>_xlfn.XLOOKUP(TIDP[[#This Row],[ACTIVITY ID]],Baseline[Activity Code],Baseline[Finish],"",0)</f>
        <v>46221</v>
      </c>
      <c r="AC55" s="10"/>
      <c r="AD55" s="10"/>
      <c r="AE55" s="10"/>
      <c r="AF55" s="10"/>
      <c r="AG55" s="10"/>
      <c r="AH55" s="11"/>
    </row>
    <row r="56" spans="1:34" x14ac:dyDescent="0.3">
      <c r="A56" s="43" t="str">
        <f t="shared" si="2"/>
        <v>QF01012-NES-C04518-SDW-FWR-00-Z00000-2ZZ0029</v>
      </c>
      <c r="B56" s="67" t="s">
        <v>122</v>
      </c>
      <c r="C56" s="8"/>
      <c r="D56" s="8"/>
      <c r="E56" s="53" t="s">
        <v>69</v>
      </c>
      <c r="F56" s="54" t="s">
        <v>70</v>
      </c>
      <c r="G56" s="9" t="s">
        <v>71</v>
      </c>
      <c r="H56" s="72">
        <v>46359</v>
      </c>
      <c r="I56" s="25"/>
      <c r="J56" s="54" t="s">
        <v>72</v>
      </c>
      <c r="K56" s="9" t="s">
        <v>73</v>
      </c>
      <c r="L56" s="9" t="s">
        <v>74</v>
      </c>
      <c r="M56" s="54" t="s">
        <v>75</v>
      </c>
      <c r="N56" s="54" t="s">
        <v>76</v>
      </c>
      <c r="O56" s="9" t="s">
        <v>77</v>
      </c>
      <c r="P56" s="9" t="s">
        <v>78</v>
      </c>
      <c r="Q56" s="54" t="s">
        <v>14</v>
      </c>
      <c r="R56" s="54" t="s">
        <v>88</v>
      </c>
      <c r="S56" s="55">
        <v>2</v>
      </c>
      <c r="T56" s="9" t="s">
        <v>80</v>
      </c>
      <c r="U56" s="54" t="s">
        <v>156</v>
      </c>
      <c r="V56" s="24" t="str">
        <f t="shared" si="1"/>
        <v>Structural</v>
      </c>
      <c r="W56" s="10" t="s">
        <v>82</v>
      </c>
      <c r="X56" s="10" t="s">
        <v>83</v>
      </c>
      <c r="Y56" s="10"/>
      <c r="Z56" s="10"/>
      <c r="AA56" s="10"/>
      <c r="AB56" s="22">
        <f>_xlfn.XLOOKUP(TIDP[[#This Row],[ACTIVITY ID]],Baseline[Activity Code],Baseline[Finish],"",0)</f>
        <v>46221</v>
      </c>
      <c r="AC56" s="10"/>
      <c r="AD56" s="10"/>
      <c r="AE56" s="10"/>
      <c r="AF56" s="10"/>
      <c r="AG56" s="10"/>
      <c r="AH56" s="11"/>
    </row>
    <row r="57" spans="1:34" x14ac:dyDescent="0.3">
      <c r="A57" s="43" t="str">
        <f t="shared" si="2"/>
        <v>QF01012-NES-C04518-SDW-FWR-00-Z00000-2ZZ0030</v>
      </c>
      <c r="B57" s="67" t="s">
        <v>124</v>
      </c>
      <c r="C57" s="8"/>
      <c r="D57" s="8"/>
      <c r="E57" s="53" t="s">
        <v>69</v>
      </c>
      <c r="F57" s="54" t="s">
        <v>70</v>
      </c>
      <c r="G57" s="9" t="s">
        <v>71</v>
      </c>
      <c r="H57" s="72">
        <v>46360</v>
      </c>
      <c r="I57" s="25"/>
      <c r="J57" s="54" t="s">
        <v>72</v>
      </c>
      <c r="K57" s="9" t="s">
        <v>73</v>
      </c>
      <c r="L57" s="9" t="s">
        <v>74</v>
      </c>
      <c r="M57" s="54" t="s">
        <v>75</v>
      </c>
      <c r="N57" s="54" t="s">
        <v>76</v>
      </c>
      <c r="O57" s="9" t="s">
        <v>77</v>
      </c>
      <c r="P57" s="9" t="s">
        <v>78</v>
      </c>
      <c r="Q57" s="54" t="s">
        <v>14</v>
      </c>
      <c r="R57" s="54" t="s">
        <v>88</v>
      </c>
      <c r="S57" s="55">
        <v>2</v>
      </c>
      <c r="T57" s="9" t="s">
        <v>80</v>
      </c>
      <c r="U57" s="54" t="s">
        <v>157</v>
      </c>
      <c r="V57" s="24" t="str">
        <f t="shared" si="1"/>
        <v>Structural</v>
      </c>
      <c r="W57" s="10" t="s">
        <v>82</v>
      </c>
      <c r="X57" s="10" t="s">
        <v>83</v>
      </c>
      <c r="Y57" s="10"/>
      <c r="Z57" s="10"/>
      <c r="AA57" s="10"/>
      <c r="AB57" s="22">
        <f>_xlfn.XLOOKUP(TIDP[[#This Row],[ACTIVITY ID]],Baseline[Activity Code],Baseline[Finish],"",0)</f>
        <v>46221</v>
      </c>
      <c r="AC57" s="10"/>
      <c r="AD57" s="10"/>
      <c r="AE57" s="10"/>
      <c r="AF57" s="10"/>
      <c r="AG57" s="10"/>
      <c r="AH57" s="11"/>
    </row>
    <row r="58" spans="1:34" x14ac:dyDescent="0.3">
      <c r="A58" s="43" t="str">
        <f t="shared" si="2"/>
        <v>QF01012-NES-C04518-SDW-FWR-00-Z00000-2ZZ0031</v>
      </c>
      <c r="B58" s="67" t="s">
        <v>126</v>
      </c>
      <c r="C58" s="8"/>
      <c r="D58" s="8"/>
      <c r="E58" s="53" t="s">
        <v>69</v>
      </c>
      <c r="F58" s="54" t="s">
        <v>70</v>
      </c>
      <c r="G58" s="9" t="s">
        <v>71</v>
      </c>
      <c r="H58" s="72">
        <v>46361</v>
      </c>
      <c r="I58" s="25"/>
      <c r="J58" s="54" t="s">
        <v>72</v>
      </c>
      <c r="K58" s="9" t="s">
        <v>73</v>
      </c>
      <c r="L58" s="9" t="s">
        <v>74</v>
      </c>
      <c r="M58" s="54" t="s">
        <v>75</v>
      </c>
      <c r="N58" s="54" t="s">
        <v>76</v>
      </c>
      <c r="O58" s="9" t="s">
        <v>77</v>
      </c>
      <c r="P58" s="9" t="s">
        <v>78</v>
      </c>
      <c r="Q58" s="54" t="s">
        <v>14</v>
      </c>
      <c r="R58" s="54" t="s">
        <v>88</v>
      </c>
      <c r="S58" s="55">
        <v>2</v>
      </c>
      <c r="T58" s="9" t="s">
        <v>80</v>
      </c>
      <c r="U58" s="54" t="s">
        <v>158</v>
      </c>
      <c r="V58" s="24" t="str">
        <f t="shared" si="1"/>
        <v>Structural</v>
      </c>
      <c r="W58" s="10" t="s">
        <v>82</v>
      </c>
      <c r="X58" s="10" t="s">
        <v>83</v>
      </c>
      <c r="Y58" s="10"/>
      <c r="Z58" s="10"/>
      <c r="AA58" s="10"/>
      <c r="AB58" s="22">
        <f>_xlfn.XLOOKUP(TIDP[[#This Row],[ACTIVITY ID]],Baseline[Activity Code],Baseline[Finish],"",0)</f>
        <v>46221</v>
      </c>
      <c r="AC58" s="10"/>
      <c r="AD58" s="10"/>
      <c r="AE58" s="10"/>
      <c r="AF58" s="10"/>
      <c r="AG58" s="10"/>
      <c r="AH58" s="11"/>
    </row>
    <row r="59" spans="1:34" x14ac:dyDescent="0.3">
      <c r="A59" s="43" t="str">
        <f t="shared" si="2"/>
        <v>QF01012-NES-C04518-SDW-FWR-00-Z00000-2ZZ0032</v>
      </c>
      <c r="B59" s="52" t="s">
        <v>128</v>
      </c>
      <c r="C59" s="8"/>
      <c r="D59" s="8"/>
      <c r="E59" s="53" t="s">
        <v>69</v>
      </c>
      <c r="F59" s="54" t="s">
        <v>70</v>
      </c>
      <c r="G59" s="9" t="s">
        <v>71</v>
      </c>
      <c r="H59" s="71">
        <v>46219</v>
      </c>
      <c r="I59" s="25"/>
      <c r="J59" s="54" t="s">
        <v>72</v>
      </c>
      <c r="K59" s="9" t="s">
        <v>73</v>
      </c>
      <c r="L59" s="9" t="s">
        <v>74</v>
      </c>
      <c r="M59" s="54" t="s">
        <v>75</v>
      </c>
      <c r="N59" s="54" t="s">
        <v>76</v>
      </c>
      <c r="O59" s="9" t="s">
        <v>77</v>
      </c>
      <c r="P59" s="9" t="s">
        <v>78</v>
      </c>
      <c r="Q59" s="54" t="s">
        <v>14</v>
      </c>
      <c r="R59" s="54" t="s">
        <v>88</v>
      </c>
      <c r="S59" s="55">
        <v>2</v>
      </c>
      <c r="T59" s="9" t="s">
        <v>80</v>
      </c>
      <c r="U59" s="54" t="s">
        <v>159</v>
      </c>
      <c r="V59" s="24" t="str">
        <f t="shared" si="1"/>
        <v>Structural</v>
      </c>
      <c r="W59" s="10" t="s">
        <v>82</v>
      </c>
      <c r="X59" s="10" t="s">
        <v>83</v>
      </c>
      <c r="Y59" s="10"/>
      <c r="Z59" s="10"/>
      <c r="AA59" s="10"/>
      <c r="AB59" s="22">
        <f>_xlfn.XLOOKUP(TIDP[[#This Row],[ACTIVITY ID]],Baseline[Activity Code],Baseline[Finish],"",0)</f>
        <v>46221</v>
      </c>
      <c r="AC59" s="10"/>
      <c r="AD59" s="10"/>
      <c r="AE59" s="10"/>
      <c r="AF59" s="10"/>
      <c r="AG59" s="10"/>
      <c r="AH59" s="11"/>
    </row>
    <row r="60" spans="1:34" x14ac:dyDescent="0.3">
      <c r="A60" s="43" t="str">
        <f t="shared" ref="A60:A71" si="7">CONCATENATE(TRIM(L60),"-",TRIM(M60),"-",TRIM(N60),"-",TRIM(O60),"-",TRIM(P60),"-",TRIM(Q60),"-",TRIM(R60),"-",TRIM(S60),TRIM(T60),TRIM(U60))</f>
        <v>QF01012-NES-C04518-SDW-FWR-00-Z00000-2ZZ0033</v>
      </c>
      <c r="B60" s="67" t="s">
        <v>130</v>
      </c>
      <c r="C60" s="8"/>
      <c r="D60" s="8"/>
      <c r="E60" s="53" t="s">
        <v>69</v>
      </c>
      <c r="F60" s="54" t="s">
        <v>70</v>
      </c>
      <c r="G60" s="9" t="s">
        <v>71</v>
      </c>
      <c r="H60" s="72">
        <v>46350</v>
      </c>
      <c r="I60" s="25"/>
      <c r="J60" s="54" t="s">
        <v>72</v>
      </c>
      <c r="K60" s="9" t="s">
        <v>73</v>
      </c>
      <c r="L60" s="9" t="s">
        <v>74</v>
      </c>
      <c r="M60" s="54" t="s">
        <v>75</v>
      </c>
      <c r="N60" s="54" t="s">
        <v>76</v>
      </c>
      <c r="O60" s="9" t="s">
        <v>77</v>
      </c>
      <c r="P60" s="9" t="s">
        <v>78</v>
      </c>
      <c r="Q60" s="54" t="s">
        <v>14</v>
      </c>
      <c r="R60" s="54" t="s">
        <v>88</v>
      </c>
      <c r="S60" s="55">
        <v>2</v>
      </c>
      <c r="T60" s="9" t="s">
        <v>80</v>
      </c>
      <c r="U60" s="54" t="s">
        <v>160</v>
      </c>
      <c r="V60" s="24" t="str">
        <f t="shared" si="1"/>
        <v>Structural</v>
      </c>
      <c r="W60" s="10" t="s">
        <v>82</v>
      </c>
      <c r="X60" s="10" t="s">
        <v>83</v>
      </c>
      <c r="Y60" s="10"/>
      <c r="Z60" s="10"/>
      <c r="AA60" s="10"/>
      <c r="AB60" s="22">
        <f>_xlfn.XLOOKUP(TIDP[[#This Row],[ACTIVITY ID]],Baseline[Activity Code],Baseline[Finish],"",0)</f>
        <v>46221</v>
      </c>
      <c r="AC60" s="10"/>
      <c r="AD60" s="10"/>
      <c r="AE60" s="10"/>
      <c r="AF60" s="10"/>
      <c r="AG60" s="10"/>
      <c r="AH60" s="11"/>
    </row>
    <row r="61" spans="1:34" x14ac:dyDescent="0.3">
      <c r="A61" s="43" t="str">
        <f t="shared" si="7"/>
        <v>QF01012-NES-C04518-SDW-FWR-00-Z00000-2ZZ0034</v>
      </c>
      <c r="B61" s="67" t="s">
        <v>132</v>
      </c>
      <c r="C61" s="8"/>
      <c r="D61" s="8"/>
      <c r="E61" s="53" t="s">
        <v>69</v>
      </c>
      <c r="F61" s="54" t="s">
        <v>70</v>
      </c>
      <c r="G61" s="9" t="s">
        <v>71</v>
      </c>
      <c r="H61" s="72">
        <v>46351</v>
      </c>
      <c r="I61" s="25"/>
      <c r="J61" s="54" t="s">
        <v>72</v>
      </c>
      <c r="K61" s="9" t="s">
        <v>73</v>
      </c>
      <c r="L61" s="9" t="s">
        <v>74</v>
      </c>
      <c r="M61" s="54" t="s">
        <v>75</v>
      </c>
      <c r="N61" s="54" t="s">
        <v>76</v>
      </c>
      <c r="O61" s="9" t="s">
        <v>77</v>
      </c>
      <c r="P61" s="9" t="s">
        <v>78</v>
      </c>
      <c r="Q61" s="54" t="s">
        <v>14</v>
      </c>
      <c r="R61" s="54" t="s">
        <v>88</v>
      </c>
      <c r="S61" s="55">
        <v>2</v>
      </c>
      <c r="T61" s="9" t="s">
        <v>80</v>
      </c>
      <c r="U61" s="54" t="s">
        <v>161</v>
      </c>
      <c r="V61" s="24" t="str">
        <f t="shared" si="1"/>
        <v>Structural</v>
      </c>
      <c r="W61" s="10" t="s">
        <v>82</v>
      </c>
      <c r="X61" s="10" t="s">
        <v>83</v>
      </c>
      <c r="Y61" s="10"/>
      <c r="Z61" s="10"/>
      <c r="AA61" s="10"/>
      <c r="AB61" s="22">
        <f>_xlfn.XLOOKUP(TIDP[[#This Row],[ACTIVITY ID]],Baseline[Activity Code],Baseline[Finish],"",0)</f>
        <v>46221</v>
      </c>
      <c r="AC61" s="10"/>
      <c r="AD61" s="10"/>
      <c r="AE61" s="10"/>
      <c r="AF61" s="10"/>
      <c r="AG61" s="10"/>
      <c r="AH61" s="11"/>
    </row>
    <row r="62" spans="1:34" x14ac:dyDescent="0.3">
      <c r="A62" s="43" t="str">
        <f t="shared" si="7"/>
        <v>QF01012-NES-C04518-SDW-FWR-00-Z00000-2ZZ0035</v>
      </c>
      <c r="B62" s="67" t="s">
        <v>134</v>
      </c>
      <c r="C62" s="8"/>
      <c r="D62" s="8"/>
      <c r="E62" s="53" t="s">
        <v>69</v>
      </c>
      <c r="F62" s="54" t="s">
        <v>70</v>
      </c>
      <c r="G62" s="9" t="s">
        <v>71</v>
      </c>
      <c r="H62" s="72">
        <v>46352</v>
      </c>
      <c r="I62" s="25"/>
      <c r="J62" s="54" t="s">
        <v>72</v>
      </c>
      <c r="K62" s="9" t="s">
        <v>73</v>
      </c>
      <c r="L62" s="9" t="s">
        <v>74</v>
      </c>
      <c r="M62" s="54" t="s">
        <v>75</v>
      </c>
      <c r="N62" s="54" t="s">
        <v>76</v>
      </c>
      <c r="O62" s="9" t="s">
        <v>77</v>
      </c>
      <c r="P62" s="9" t="s">
        <v>78</v>
      </c>
      <c r="Q62" s="54" t="s">
        <v>14</v>
      </c>
      <c r="R62" s="54" t="s">
        <v>88</v>
      </c>
      <c r="S62" s="55">
        <v>2</v>
      </c>
      <c r="T62" s="9" t="s">
        <v>80</v>
      </c>
      <c r="U62" s="54" t="s">
        <v>162</v>
      </c>
      <c r="V62" s="24" t="str">
        <f t="shared" si="1"/>
        <v>Structural</v>
      </c>
      <c r="W62" s="10" t="s">
        <v>82</v>
      </c>
      <c r="X62" s="10" t="s">
        <v>83</v>
      </c>
      <c r="Y62" s="10"/>
      <c r="Z62" s="10"/>
      <c r="AA62" s="10"/>
      <c r="AB62" s="22">
        <f>_xlfn.XLOOKUP(TIDP[[#This Row],[ACTIVITY ID]],Baseline[Activity Code],Baseline[Finish],"",0)</f>
        <v>46221</v>
      </c>
      <c r="AC62" s="10"/>
      <c r="AD62" s="10"/>
      <c r="AE62" s="10"/>
      <c r="AF62" s="10"/>
      <c r="AG62" s="10"/>
      <c r="AH62" s="11"/>
    </row>
    <row r="63" spans="1:34" x14ac:dyDescent="0.3">
      <c r="A63" s="43" t="str">
        <f t="shared" si="7"/>
        <v>QF01012-NES-C04518-SDW-FWR-00-Z00000-2ZZ0036</v>
      </c>
      <c r="B63" s="67" t="s">
        <v>136</v>
      </c>
      <c r="C63" s="8"/>
      <c r="D63" s="8"/>
      <c r="E63" s="53" t="s">
        <v>69</v>
      </c>
      <c r="F63" s="54" t="s">
        <v>70</v>
      </c>
      <c r="G63" s="9" t="s">
        <v>71</v>
      </c>
      <c r="H63" s="72">
        <v>46353</v>
      </c>
      <c r="I63" s="25"/>
      <c r="J63" s="54" t="s">
        <v>72</v>
      </c>
      <c r="K63" s="9" t="s">
        <v>73</v>
      </c>
      <c r="L63" s="9" t="s">
        <v>74</v>
      </c>
      <c r="M63" s="54" t="s">
        <v>75</v>
      </c>
      <c r="N63" s="54" t="s">
        <v>76</v>
      </c>
      <c r="O63" s="9" t="s">
        <v>77</v>
      </c>
      <c r="P63" s="9" t="s">
        <v>78</v>
      </c>
      <c r="Q63" s="54" t="s">
        <v>14</v>
      </c>
      <c r="R63" s="54" t="s">
        <v>88</v>
      </c>
      <c r="S63" s="55">
        <v>2</v>
      </c>
      <c r="T63" s="9" t="s">
        <v>80</v>
      </c>
      <c r="U63" s="54" t="s">
        <v>163</v>
      </c>
      <c r="V63" s="24" t="str">
        <f t="shared" si="1"/>
        <v>Structural</v>
      </c>
      <c r="W63" s="10" t="s">
        <v>82</v>
      </c>
      <c r="X63" s="10" t="s">
        <v>83</v>
      </c>
      <c r="Y63" s="10"/>
      <c r="Z63" s="10"/>
      <c r="AA63" s="10"/>
      <c r="AB63" s="22">
        <f>_xlfn.XLOOKUP(TIDP[[#This Row],[ACTIVITY ID]],Baseline[Activity Code],Baseline[Finish],"",0)</f>
        <v>46221</v>
      </c>
      <c r="AC63" s="10"/>
      <c r="AD63" s="10"/>
      <c r="AE63" s="10"/>
      <c r="AF63" s="10"/>
      <c r="AG63" s="10"/>
      <c r="AH63" s="11"/>
    </row>
    <row r="64" spans="1:34" x14ac:dyDescent="0.3">
      <c r="A64" s="43" t="str">
        <f t="shared" si="7"/>
        <v>QF01012-NES-C04518-SDW-FWR-00-Z00000-2ZZ0038</v>
      </c>
      <c r="B64" s="67" t="s">
        <v>140</v>
      </c>
      <c r="C64" s="8"/>
      <c r="D64" s="8"/>
      <c r="E64" s="53" t="s">
        <v>69</v>
      </c>
      <c r="F64" s="54" t="s">
        <v>70</v>
      </c>
      <c r="G64" s="9" t="s">
        <v>141</v>
      </c>
      <c r="H64" s="72">
        <v>46355</v>
      </c>
      <c r="I64" s="25"/>
      <c r="J64" s="54" t="s">
        <v>72</v>
      </c>
      <c r="K64" s="9" t="s">
        <v>142</v>
      </c>
      <c r="L64" s="9" t="s">
        <v>74</v>
      </c>
      <c r="M64" s="54" t="s">
        <v>75</v>
      </c>
      <c r="N64" s="54" t="s">
        <v>76</v>
      </c>
      <c r="O64" s="9" t="s">
        <v>77</v>
      </c>
      <c r="P64" s="9" t="s">
        <v>78</v>
      </c>
      <c r="Q64" s="54" t="s">
        <v>14</v>
      </c>
      <c r="R64" s="54" t="s">
        <v>88</v>
      </c>
      <c r="S64" s="55">
        <v>2</v>
      </c>
      <c r="T64" s="9" t="s">
        <v>80</v>
      </c>
      <c r="U64" s="54" t="s">
        <v>164</v>
      </c>
      <c r="V64" s="24" t="str">
        <f t="shared" si="1"/>
        <v>Structural</v>
      </c>
      <c r="W64" s="10" t="s">
        <v>82</v>
      </c>
      <c r="X64" s="10" t="s">
        <v>83</v>
      </c>
      <c r="Y64" s="10"/>
      <c r="Z64" s="10"/>
      <c r="AA64" s="10"/>
      <c r="AB64" s="22">
        <f>_xlfn.XLOOKUP(TIDP[[#This Row],[ACTIVITY ID]],Baseline[Activity Code],Baseline[Finish],"",0)</f>
        <v>46221</v>
      </c>
      <c r="AC64" s="10"/>
      <c r="AD64" s="10"/>
      <c r="AE64" s="10"/>
      <c r="AF64" s="10"/>
      <c r="AG64" s="10"/>
      <c r="AH64" s="11"/>
    </row>
    <row r="65" spans="1:34" x14ac:dyDescent="0.3">
      <c r="A65" s="43" t="str">
        <f t="shared" si="7"/>
        <v>QF01012-NES-C04518-SDW-FWR-00-Z00000-2ZZ0039</v>
      </c>
      <c r="B65" s="67" t="s">
        <v>120</v>
      </c>
      <c r="C65" s="8"/>
      <c r="D65" s="8"/>
      <c r="E65" s="53" t="s">
        <v>69</v>
      </c>
      <c r="F65" s="54" t="s">
        <v>70</v>
      </c>
      <c r="G65" s="9" t="s">
        <v>141</v>
      </c>
      <c r="H65" s="72">
        <v>46356</v>
      </c>
      <c r="I65" s="25"/>
      <c r="J65" s="54" t="s">
        <v>72</v>
      </c>
      <c r="K65" s="9" t="s">
        <v>142</v>
      </c>
      <c r="L65" s="9" t="s">
        <v>74</v>
      </c>
      <c r="M65" s="54" t="s">
        <v>75</v>
      </c>
      <c r="N65" s="54" t="s">
        <v>76</v>
      </c>
      <c r="O65" s="9" t="s">
        <v>77</v>
      </c>
      <c r="P65" s="9" t="s">
        <v>78</v>
      </c>
      <c r="Q65" s="54" t="s">
        <v>14</v>
      </c>
      <c r="R65" s="54" t="s">
        <v>88</v>
      </c>
      <c r="S65" s="55">
        <v>2</v>
      </c>
      <c r="T65" s="9" t="s">
        <v>80</v>
      </c>
      <c r="U65" s="54" t="s">
        <v>165</v>
      </c>
      <c r="V65" s="24" t="str">
        <f t="shared" si="1"/>
        <v>Structural</v>
      </c>
      <c r="W65" s="10" t="s">
        <v>82</v>
      </c>
      <c r="X65" s="10" t="s">
        <v>83</v>
      </c>
      <c r="Y65" s="10"/>
      <c r="Z65" s="10"/>
      <c r="AA65" s="10"/>
      <c r="AB65" s="22">
        <f>_xlfn.XLOOKUP(TIDP[[#This Row],[ACTIVITY ID]],Baseline[Activity Code],Baseline[Finish],"",0)</f>
        <v>46221</v>
      </c>
      <c r="AC65" s="10"/>
      <c r="AD65" s="10"/>
      <c r="AE65" s="10"/>
      <c r="AF65" s="10"/>
      <c r="AG65" s="10"/>
      <c r="AH65" s="11"/>
    </row>
    <row r="66" spans="1:34" x14ac:dyDescent="0.3">
      <c r="A66" s="43" t="str">
        <f t="shared" si="7"/>
        <v>QF01012-NES-C04518-SDW-FWR-00-Z00000-2ZZ0040</v>
      </c>
      <c r="B66" s="67" t="s">
        <v>122</v>
      </c>
      <c r="C66" s="8"/>
      <c r="D66" s="8"/>
      <c r="E66" s="53" t="s">
        <v>69</v>
      </c>
      <c r="F66" s="54" t="s">
        <v>70</v>
      </c>
      <c r="G66" s="9" t="s">
        <v>141</v>
      </c>
      <c r="H66" s="72">
        <v>46357</v>
      </c>
      <c r="I66" s="25"/>
      <c r="J66" s="54" t="s">
        <v>72</v>
      </c>
      <c r="K66" s="9" t="s">
        <v>142</v>
      </c>
      <c r="L66" s="9" t="s">
        <v>74</v>
      </c>
      <c r="M66" s="54" t="s">
        <v>75</v>
      </c>
      <c r="N66" s="54" t="s">
        <v>76</v>
      </c>
      <c r="O66" s="9" t="s">
        <v>77</v>
      </c>
      <c r="P66" s="9" t="s">
        <v>78</v>
      </c>
      <c r="Q66" s="54" t="s">
        <v>14</v>
      </c>
      <c r="R66" s="54" t="s">
        <v>88</v>
      </c>
      <c r="S66" s="55">
        <v>2</v>
      </c>
      <c r="T66" s="9" t="s">
        <v>80</v>
      </c>
      <c r="U66" s="54" t="s">
        <v>166</v>
      </c>
      <c r="V66" s="24" t="str">
        <f t="shared" si="1"/>
        <v>Structural</v>
      </c>
      <c r="W66" s="10" t="s">
        <v>82</v>
      </c>
      <c r="X66" s="10" t="s">
        <v>83</v>
      </c>
      <c r="Y66" s="10"/>
      <c r="Z66" s="10"/>
      <c r="AA66" s="10"/>
      <c r="AB66" s="22">
        <f>_xlfn.XLOOKUP(TIDP[[#This Row],[ACTIVITY ID]],Baseline[Activity Code],Baseline[Finish],"",0)</f>
        <v>46221</v>
      </c>
      <c r="AC66" s="10"/>
      <c r="AD66" s="10"/>
      <c r="AE66" s="10"/>
      <c r="AF66" s="10"/>
      <c r="AG66" s="10"/>
      <c r="AH66" s="11"/>
    </row>
    <row r="67" spans="1:34" x14ac:dyDescent="0.3">
      <c r="A67" s="43" t="str">
        <f t="shared" si="7"/>
        <v>QF01012-NES-C04518-SDW-FWR-00-Z00000-2ZZ0041</v>
      </c>
      <c r="B67" s="67" t="s">
        <v>126</v>
      </c>
      <c r="C67" s="8"/>
      <c r="D67" s="8"/>
      <c r="E67" s="53" t="s">
        <v>69</v>
      </c>
      <c r="F67" s="54" t="s">
        <v>70</v>
      </c>
      <c r="G67" s="9" t="s">
        <v>141</v>
      </c>
      <c r="H67" s="72">
        <v>46358</v>
      </c>
      <c r="I67" s="25"/>
      <c r="J67" s="54" t="s">
        <v>72</v>
      </c>
      <c r="K67" s="9" t="s">
        <v>142</v>
      </c>
      <c r="L67" s="9" t="s">
        <v>74</v>
      </c>
      <c r="M67" s="54" t="s">
        <v>75</v>
      </c>
      <c r="N67" s="54" t="s">
        <v>76</v>
      </c>
      <c r="O67" s="9" t="s">
        <v>77</v>
      </c>
      <c r="P67" s="9" t="s">
        <v>78</v>
      </c>
      <c r="Q67" s="54" t="s">
        <v>14</v>
      </c>
      <c r="R67" s="54" t="s">
        <v>88</v>
      </c>
      <c r="S67" s="55">
        <v>2</v>
      </c>
      <c r="T67" s="9" t="s">
        <v>80</v>
      </c>
      <c r="U67" s="54" t="s">
        <v>167</v>
      </c>
      <c r="V67" s="24" t="str">
        <f t="shared" si="1"/>
        <v>Structural</v>
      </c>
      <c r="W67" s="10" t="s">
        <v>82</v>
      </c>
      <c r="X67" s="10" t="s">
        <v>83</v>
      </c>
      <c r="Y67" s="10"/>
      <c r="Z67" s="10"/>
      <c r="AA67" s="10"/>
      <c r="AB67" s="22">
        <f>_xlfn.XLOOKUP(TIDP[[#This Row],[ACTIVITY ID]],Baseline[Activity Code],Baseline[Finish],"",0)</f>
        <v>46221</v>
      </c>
      <c r="AC67" s="10"/>
      <c r="AD67" s="10"/>
      <c r="AE67" s="10"/>
      <c r="AF67" s="10"/>
      <c r="AG67" s="10"/>
      <c r="AH67" s="11"/>
    </row>
    <row r="68" spans="1:34" x14ac:dyDescent="0.3">
      <c r="A68" s="43" t="str">
        <f t="shared" si="7"/>
        <v>QF01012-NES-C04518-SDW-FWR-00-Z00000-2ZZ0042</v>
      </c>
      <c r="B68" s="67" t="s">
        <v>128</v>
      </c>
      <c r="C68" s="8"/>
      <c r="D68" s="8"/>
      <c r="E68" s="53" t="s">
        <v>69</v>
      </c>
      <c r="F68" s="54" t="s">
        <v>70</v>
      </c>
      <c r="G68" s="9" t="s">
        <v>141</v>
      </c>
      <c r="H68" s="72">
        <v>46359</v>
      </c>
      <c r="I68" s="25"/>
      <c r="J68" s="54" t="s">
        <v>72</v>
      </c>
      <c r="K68" s="9" t="s">
        <v>142</v>
      </c>
      <c r="L68" s="9" t="s">
        <v>74</v>
      </c>
      <c r="M68" s="54" t="s">
        <v>75</v>
      </c>
      <c r="N68" s="54" t="s">
        <v>76</v>
      </c>
      <c r="O68" s="9" t="s">
        <v>77</v>
      </c>
      <c r="P68" s="9" t="s">
        <v>78</v>
      </c>
      <c r="Q68" s="54" t="s">
        <v>14</v>
      </c>
      <c r="R68" s="54" t="s">
        <v>88</v>
      </c>
      <c r="S68" s="55">
        <v>2</v>
      </c>
      <c r="T68" s="9" t="s">
        <v>80</v>
      </c>
      <c r="U68" s="54" t="s">
        <v>168</v>
      </c>
      <c r="V68" s="24" t="str">
        <f t="shared" si="1"/>
        <v>Structural</v>
      </c>
      <c r="W68" s="10" t="s">
        <v>82</v>
      </c>
      <c r="X68" s="10" t="s">
        <v>83</v>
      </c>
      <c r="Y68" s="10"/>
      <c r="Z68" s="10"/>
      <c r="AA68" s="10"/>
      <c r="AB68" s="22">
        <f>_xlfn.XLOOKUP(TIDP[[#This Row],[ACTIVITY ID]],Baseline[Activity Code],Baseline[Finish],"",0)</f>
        <v>46221</v>
      </c>
      <c r="AC68" s="10"/>
      <c r="AD68" s="10"/>
      <c r="AE68" s="10"/>
      <c r="AF68" s="10"/>
      <c r="AG68" s="10"/>
      <c r="AH68" s="11"/>
    </row>
    <row r="69" spans="1:34" x14ac:dyDescent="0.3">
      <c r="A69" s="43" t="str">
        <f t="shared" si="7"/>
        <v>QF01012-NES-C04518-SDW-FWR-00-Z00000-2ZZ0043</v>
      </c>
      <c r="B69" s="67" t="s">
        <v>130</v>
      </c>
      <c r="C69" s="8"/>
      <c r="D69" s="8"/>
      <c r="E69" s="53" t="s">
        <v>69</v>
      </c>
      <c r="F69" s="54" t="s">
        <v>70</v>
      </c>
      <c r="G69" s="9" t="s">
        <v>141</v>
      </c>
      <c r="H69" s="72">
        <v>46360</v>
      </c>
      <c r="I69" s="25"/>
      <c r="J69" s="54" t="s">
        <v>72</v>
      </c>
      <c r="K69" s="9" t="s">
        <v>142</v>
      </c>
      <c r="L69" s="9" t="s">
        <v>74</v>
      </c>
      <c r="M69" s="54" t="s">
        <v>75</v>
      </c>
      <c r="N69" s="54" t="s">
        <v>76</v>
      </c>
      <c r="O69" s="9" t="s">
        <v>77</v>
      </c>
      <c r="P69" s="9" t="s">
        <v>78</v>
      </c>
      <c r="Q69" s="54" t="s">
        <v>14</v>
      </c>
      <c r="R69" s="54" t="s">
        <v>88</v>
      </c>
      <c r="S69" s="55">
        <v>2</v>
      </c>
      <c r="T69" s="9" t="s">
        <v>80</v>
      </c>
      <c r="U69" s="54" t="s">
        <v>169</v>
      </c>
      <c r="V69" s="24" t="str">
        <f t="shared" si="1"/>
        <v>Structural</v>
      </c>
      <c r="W69" s="10" t="s">
        <v>82</v>
      </c>
      <c r="X69" s="10" t="s">
        <v>83</v>
      </c>
      <c r="Y69" s="10"/>
      <c r="Z69" s="10"/>
      <c r="AA69" s="10"/>
      <c r="AB69" s="22">
        <f>_xlfn.XLOOKUP(TIDP[[#This Row],[ACTIVITY ID]],Baseline[Activity Code],Baseline[Finish],"",0)</f>
        <v>46221</v>
      </c>
      <c r="AC69" s="10"/>
      <c r="AD69" s="10"/>
      <c r="AE69" s="10"/>
      <c r="AF69" s="10"/>
      <c r="AG69" s="10"/>
      <c r="AH69" s="11"/>
    </row>
    <row r="70" spans="1:34" x14ac:dyDescent="0.3">
      <c r="A70" s="43" t="str">
        <f t="shared" si="7"/>
        <v>QF01012-NES-C04518-SDW-FWR-00-Z00000-2ZZ0044</v>
      </c>
      <c r="B70" s="67" t="s">
        <v>136</v>
      </c>
      <c r="C70" s="8"/>
      <c r="D70" s="8"/>
      <c r="E70" s="53" t="s">
        <v>69</v>
      </c>
      <c r="F70" s="54" t="s">
        <v>70</v>
      </c>
      <c r="G70" s="9" t="s">
        <v>141</v>
      </c>
      <c r="H70" s="72">
        <v>46361</v>
      </c>
      <c r="I70" s="25"/>
      <c r="J70" s="54" t="s">
        <v>72</v>
      </c>
      <c r="K70" s="9" t="s">
        <v>142</v>
      </c>
      <c r="L70" s="9" t="s">
        <v>74</v>
      </c>
      <c r="M70" s="54" t="s">
        <v>75</v>
      </c>
      <c r="N70" s="54" t="s">
        <v>76</v>
      </c>
      <c r="O70" s="9" t="s">
        <v>77</v>
      </c>
      <c r="P70" s="9" t="s">
        <v>78</v>
      </c>
      <c r="Q70" s="54" t="s">
        <v>14</v>
      </c>
      <c r="R70" s="54" t="s">
        <v>88</v>
      </c>
      <c r="S70" s="55">
        <v>2</v>
      </c>
      <c r="T70" s="9" t="s">
        <v>80</v>
      </c>
      <c r="U70" s="54" t="s">
        <v>170</v>
      </c>
      <c r="V70" s="24" t="str">
        <f t="shared" si="1"/>
        <v>Structural</v>
      </c>
      <c r="W70" s="10" t="s">
        <v>82</v>
      </c>
      <c r="X70" s="10" t="s">
        <v>83</v>
      </c>
      <c r="Y70" s="10"/>
      <c r="Z70" s="10"/>
      <c r="AA70" s="10"/>
      <c r="AB70" s="22">
        <f>_xlfn.XLOOKUP(TIDP[[#This Row],[ACTIVITY ID]],Baseline[Activity Code],Baseline[Finish],"",0)</f>
        <v>46221</v>
      </c>
      <c r="AC70" s="10"/>
      <c r="AD70" s="10"/>
      <c r="AE70" s="10"/>
      <c r="AF70" s="10"/>
      <c r="AG70" s="10"/>
      <c r="AH70" s="11"/>
    </row>
    <row r="71" spans="1:34" x14ac:dyDescent="0.3">
      <c r="A71" s="43" t="str">
        <f t="shared" si="7"/>
        <v>QF01012-NES-C04518-SDW-FWR-00-BLAD05-2ZZ0018</v>
      </c>
      <c r="B71" s="52" t="s">
        <v>171</v>
      </c>
      <c r="C71" s="8"/>
      <c r="D71" s="8"/>
      <c r="E71" s="53" t="s">
        <v>69</v>
      </c>
      <c r="F71" s="54" t="s">
        <v>70</v>
      </c>
      <c r="G71" s="9" t="s">
        <v>141</v>
      </c>
      <c r="H71" s="71">
        <v>46042</v>
      </c>
      <c r="I71" s="25"/>
      <c r="J71" s="54" t="s">
        <v>72</v>
      </c>
      <c r="K71" s="9" t="s">
        <v>142</v>
      </c>
      <c r="L71" s="9" t="s">
        <v>74</v>
      </c>
      <c r="M71" s="54" t="s">
        <v>75</v>
      </c>
      <c r="N71" s="54" t="s">
        <v>76</v>
      </c>
      <c r="O71" s="9" t="s">
        <v>77</v>
      </c>
      <c r="P71" s="9" t="s">
        <v>78</v>
      </c>
      <c r="Q71" s="54" t="s">
        <v>14</v>
      </c>
      <c r="R71" s="54" t="s">
        <v>91</v>
      </c>
      <c r="S71" s="55">
        <v>2</v>
      </c>
      <c r="T71" s="9" t="s">
        <v>80</v>
      </c>
      <c r="U71" s="54" t="s">
        <v>145</v>
      </c>
      <c r="V71" s="24" t="str">
        <f t="shared" si="1"/>
        <v>Structural</v>
      </c>
      <c r="W71" s="10" t="s">
        <v>82</v>
      </c>
      <c r="X71" s="10" t="s">
        <v>83</v>
      </c>
      <c r="Y71" s="10"/>
      <c r="Z71" s="10"/>
      <c r="AA71" s="10"/>
      <c r="AB71" s="22">
        <f>_xlfn.XLOOKUP(TIDP[[#This Row],[ACTIVITY ID]],Baseline[Activity Code],Baseline[Finish],"",0)</f>
        <v>46221</v>
      </c>
      <c r="AC71" s="10"/>
      <c r="AD71" s="10"/>
      <c r="AE71" s="10"/>
      <c r="AF71" s="10"/>
      <c r="AG71" s="10"/>
      <c r="AH71" s="11"/>
    </row>
    <row r="72" spans="1:34" x14ac:dyDescent="0.3">
      <c r="A72" s="43" t="str">
        <f t="shared" ref="A72:A78" si="8">CONCATENATE(TRIM(L72),"-",TRIM(M72),"-",TRIM(N72),"-",TRIM(O72),"-",TRIM(P72),"-",TRIM(Q72),"-",TRIM(R72),"-",TRIM(S72),TRIM(T72),TRIM(U72))</f>
        <v>QF01012-NES-C04518-SDW-FWR-00-BLAD03-2ZZ0023</v>
      </c>
      <c r="B72" s="52" t="s">
        <v>172</v>
      </c>
      <c r="C72" s="8"/>
      <c r="D72" s="8"/>
      <c r="E72" s="53" t="s">
        <v>69</v>
      </c>
      <c r="F72" s="54" t="s">
        <v>70</v>
      </c>
      <c r="G72" s="9" t="s">
        <v>141</v>
      </c>
      <c r="H72" s="71">
        <v>46043</v>
      </c>
      <c r="I72" s="25"/>
      <c r="J72" s="54" t="s">
        <v>72</v>
      </c>
      <c r="K72" s="9" t="s">
        <v>142</v>
      </c>
      <c r="L72" s="9" t="s">
        <v>74</v>
      </c>
      <c r="M72" s="54" t="s">
        <v>75</v>
      </c>
      <c r="N72" s="54" t="s">
        <v>76</v>
      </c>
      <c r="O72" s="9" t="s">
        <v>77</v>
      </c>
      <c r="P72" s="9" t="s">
        <v>78</v>
      </c>
      <c r="Q72" s="54" t="s">
        <v>14</v>
      </c>
      <c r="R72" s="54" t="s">
        <v>173</v>
      </c>
      <c r="S72" s="55">
        <v>2</v>
      </c>
      <c r="T72" s="9" t="s">
        <v>80</v>
      </c>
      <c r="U72" s="54" t="s">
        <v>150</v>
      </c>
      <c r="V72" s="24" t="str">
        <f t="shared" si="1"/>
        <v>Structural</v>
      </c>
      <c r="W72" s="10" t="s">
        <v>82</v>
      </c>
      <c r="X72" s="10" t="s">
        <v>83</v>
      </c>
      <c r="Y72" s="10"/>
      <c r="Z72" s="10"/>
      <c r="AA72" s="10"/>
      <c r="AB72" s="22">
        <f>_xlfn.XLOOKUP(TIDP[[#This Row],[ACTIVITY ID]],Baseline[Activity Code],Baseline[Finish],"",0)</f>
        <v>46221</v>
      </c>
      <c r="AC72" s="10"/>
      <c r="AD72" s="10"/>
      <c r="AE72" s="10"/>
      <c r="AF72" s="10"/>
      <c r="AG72" s="10"/>
      <c r="AH72" s="11"/>
    </row>
    <row r="73" spans="1:34" x14ac:dyDescent="0.3">
      <c r="A73" s="43" t="str">
        <f t="shared" si="8"/>
        <v>QF01012-NES-C04518-SDW-FWR-00-Z00000-0B20019</v>
      </c>
      <c r="B73" s="52" t="s">
        <v>174</v>
      </c>
      <c r="C73" s="8"/>
      <c r="D73" s="8"/>
      <c r="E73" s="53" t="s">
        <v>69</v>
      </c>
      <c r="F73" s="54" t="s">
        <v>70</v>
      </c>
      <c r="G73" s="9" t="s">
        <v>141</v>
      </c>
      <c r="H73" s="71">
        <v>46042</v>
      </c>
      <c r="I73" s="25"/>
      <c r="J73" s="54" t="s">
        <v>72</v>
      </c>
      <c r="K73" s="9" t="s">
        <v>142</v>
      </c>
      <c r="L73" s="9" t="s">
        <v>74</v>
      </c>
      <c r="M73" s="54" t="s">
        <v>75</v>
      </c>
      <c r="N73" s="54" t="s">
        <v>76</v>
      </c>
      <c r="O73" s="9" t="s">
        <v>77</v>
      </c>
      <c r="P73" s="9" t="s">
        <v>78</v>
      </c>
      <c r="Q73" s="54" t="s">
        <v>14</v>
      </c>
      <c r="R73" s="54" t="s">
        <v>88</v>
      </c>
      <c r="S73" s="55">
        <v>0</v>
      </c>
      <c r="T73" s="9" t="s">
        <v>99</v>
      </c>
      <c r="U73" s="54" t="s">
        <v>146</v>
      </c>
      <c r="V73" s="24" t="str">
        <f t="shared" si="1"/>
        <v>Structural</v>
      </c>
      <c r="W73" s="10" t="s">
        <v>82</v>
      </c>
      <c r="X73" s="10" t="s">
        <v>83</v>
      </c>
      <c r="Y73" s="10"/>
      <c r="Z73" s="10"/>
      <c r="AA73" s="10"/>
      <c r="AB73" s="22">
        <f>_xlfn.XLOOKUP(TIDP[[#This Row],[ACTIVITY ID]],Baseline[Activity Code],Baseline[Finish],"",0)</f>
        <v>46221</v>
      </c>
      <c r="AC73" s="10"/>
      <c r="AD73" s="10"/>
      <c r="AE73" s="10"/>
      <c r="AF73" s="10"/>
      <c r="AG73" s="10"/>
      <c r="AH73" s="11"/>
    </row>
    <row r="74" spans="1:34" x14ac:dyDescent="0.3">
      <c r="A74" s="43" t="str">
        <f t="shared" si="8"/>
        <v>QF01012-NES-C04518-SDW-FWR-00-Z00000-0B20020</v>
      </c>
      <c r="B74" s="52" t="s">
        <v>175</v>
      </c>
      <c r="C74" s="8"/>
      <c r="D74" s="8"/>
      <c r="E74" s="53" t="s">
        <v>69</v>
      </c>
      <c r="F74" s="54" t="s">
        <v>70</v>
      </c>
      <c r="G74" s="9" t="s">
        <v>141</v>
      </c>
      <c r="H74" s="71">
        <v>46042</v>
      </c>
      <c r="I74" s="25"/>
      <c r="J74" s="54" t="s">
        <v>72</v>
      </c>
      <c r="K74" s="9" t="s">
        <v>142</v>
      </c>
      <c r="L74" s="9" t="s">
        <v>74</v>
      </c>
      <c r="M74" s="54" t="s">
        <v>75</v>
      </c>
      <c r="N74" s="54" t="s">
        <v>76</v>
      </c>
      <c r="O74" s="9" t="s">
        <v>77</v>
      </c>
      <c r="P74" s="9" t="s">
        <v>78</v>
      </c>
      <c r="Q74" s="54" t="s">
        <v>14</v>
      </c>
      <c r="R74" s="54" t="s">
        <v>88</v>
      </c>
      <c r="S74" s="55">
        <v>0</v>
      </c>
      <c r="T74" s="9" t="s">
        <v>99</v>
      </c>
      <c r="U74" s="54" t="s">
        <v>147</v>
      </c>
      <c r="V74" s="24" t="str">
        <f t="shared" si="1"/>
        <v>Structural</v>
      </c>
      <c r="W74" s="10" t="s">
        <v>82</v>
      </c>
      <c r="X74" s="10" t="s">
        <v>83</v>
      </c>
      <c r="Y74" s="10"/>
      <c r="Z74" s="10"/>
      <c r="AA74" s="10"/>
      <c r="AB74" s="22">
        <f>_xlfn.XLOOKUP(TIDP[[#This Row],[ACTIVITY ID]],Baseline[Activity Code],Baseline[Finish],"",0)</f>
        <v>46221</v>
      </c>
      <c r="AC74" s="10"/>
      <c r="AD74" s="10"/>
      <c r="AE74" s="10"/>
      <c r="AF74" s="10"/>
      <c r="AG74" s="10"/>
      <c r="AH74" s="11"/>
    </row>
    <row r="75" spans="1:34" x14ac:dyDescent="0.3">
      <c r="A75" s="43" t="str">
        <f t="shared" ref="A75:A76" si="9">CONCATENATE(TRIM(L75),"-",TRIM(M75),"-",TRIM(N75),"-",TRIM(O75),"-",TRIM(P75),"-",TRIM(Q75),"-",TRIM(R75),"-",TRIM(S75),TRIM(T75),TRIM(U75))</f>
        <v>QF01012-NES-C04518-SDW-FWR-00-Z00000-0B20021</v>
      </c>
      <c r="B75" s="52" t="s">
        <v>176</v>
      </c>
      <c r="C75" s="8"/>
      <c r="D75" s="8"/>
      <c r="E75" s="53" t="s">
        <v>69</v>
      </c>
      <c r="F75" s="54" t="s">
        <v>70</v>
      </c>
      <c r="G75" s="9" t="s">
        <v>141</v>
      </c>
      <c r="H75" s="71">
        <v>46042</v>
      </c>
      <c r="I75" s="25"/>
      <c r="J75" s="54" t="s">
        <v>72</v>
      </c>
      <c r="K75" s="9" t="s">
        <v>142</v>
      </c>
      <c r="L75" s="9" t="s">
        <v>74</v>
      </c>
      <c r="M75" s="54" t="s">
        <v>75</v>
      </c>
      <c r="N75" s="54" t="s">
        <v>76</v>
      </c>
      <c r="O75" s="9" t="s">
        <v>77</v>
      </c>
      <c r="P75" s="9" t="s">
        <v>78</v>
      </c>
      <c r="Q75" s="54" t="s">
        <v>14</v>
      </c>
      <c r="R75" s="54" t="s">
        <v>88</v>
      </c>
      <c r="S75" s="55">
        <v>0</v>
      </c>
      <c r="T75" s="9" t="s">
        <v>99</v>
      </c>
      <c r="U75" s="54" t="s">
        <v>148</v>
      </c>
      <c r="V75" s="24" t="str">
        <f t="shared" si="1"/>
        <v>Structural</v>
      </c>
      <c r="W75" s="10" t="s">
        <v>82</v>
      </c>
      <c r="X75" s="10" t="s">
        <v>83</v>
      </c>
      <c r="Y75" s="10"/>
      <c r="Z75" s="10"/>
      <c r="AA75" s="10"/>
      <c r="AB75" s="22">
        <f>_xlfn.XLOOKUP(TIDP[[#This Row],[ACTIVITY ID]],Baseline[Activity Code],Baseline[Finish],"",0)</f>
        <v>46221</v>
      </c>
      <c r="AC75" s="10"/>
      <c r="AD75" s="10"/>
      <c r="AE75" s="10"/>
      <c r="AF75" s="10"/>
      <c r="AG75" s="10"/>
      <c r="AH75" s="11"/>
    </row>
    <row r="76" spans="1:34" x14ac:dyDescent="0.3">
      <c r="A76" s="43" t="str">
        <f t="shared" si="9"/>
        <v>QF01012-NES-C04518-SDW-FWR-00-Z00000-0B20022</v>
      </c>
      <c r="B76" s="52" t="s">
        <v>177</v>
      </c>
      <c r="C76" s="8"/>
      <c r="D76" s="8"/>
      <c r="E76" s="53" t="s">
        <v>69</v>
      </c>
      <c r="F76" s="54" t="s">
        <v>70</v>
      </c>
      <c r="G76" s="9" t="s">
        <v>141</v>
      </c>
      <c r="H76" s="71">
        <v>46042</v>
      </c>
      <c r="I76" s="25"/>
      <c r="J76" s="54" t="s">
        <v>72</v>
      </c>
      <c r="K76" s="9" t="s">
        <v>142</v>
      </c>
      <c r="L76" s="9" t="s">
        <v>74</v>
      </c>
      <c r="M76" s="54" t="s">
        <v>75</v>
      </c>
      <c r="N76" s="54" t="s">
        <v>76</v>
      </c>
      <c r="O76" s="9" t="s">
        <v>77</v>
      </c>
      <c r="P76" s="9" t="s">
        <v>78</v>
      </c>
      <c r="Q76" s="54" t="s">
        <v>14</v>
      </c>
      <c r="R76" s="54" t="s">
        <v>88</v>
      </c>
      <c r="S76" s="55">
        <v>0</v>
      </c>
      <c r="T76" s="9" t="s">
        <v>99</v>
      </c>
      <c r="U76" s="54" t="s">
        <v>149</v>
      </c>
      <c r="V76" s="24" t="str">
        <f t="shared" si="1"/>
        <v>Structural</v>
      </c>
      <c r="W76" s="10" t="s">
        <v>82</v>
      </c>
      <c r="X76" s="10" t="s">
        <v>83</v>
      </c>
      <c r="Y76" s="10"/>
      <c r="Z76" s="10"/>
      <c r="AA76" s="10"/>
      <c r="AB76" s="22">
        <f>_xlfn.XLOOKUP(TIDP[[#This Row],[ACTIVITY ID]],Baseline[Activity Code],Baseline[Finish],"",0)</f>
        <v>46221</v>
      </c>
      <c r="AC76" s="10"/>
      <c r="AD76" s="10"/>
      <c r="AE76" s="10"/>
      <c r="AF76" s="10"/>
      <c r="AG76" s="10"/>
      <c r="AH76" s="11"/>
    </row>
    <row r="77" spans="1:34" x14ac:dyDescent="0.3">
      <c r="A77" s="43" t="str">
        <f t="shared" si="8"/>
        <v>QF01012-NES-C04518-SDW-FWR-00-Z00000-0B20026</v>
      </c>
      <c r="B77" s="52" t="s">
        <v>176</v>
      </c>
      <c r="C77" s="8"/>
      <c r="D77" s="8"/>
      <c r="E77" s="53" t="s">
        <v>69</v>
      </c>
      <c r="F77" s="54" t="s">
        <v>70</v>
      </c>
      <c r="G77" s="9" t="s">
        <v>141</v>
      </c>
      <c r="H77" s="71">
        <v>46053</v>
      </c>
      <c r="I77" s="25"/>
      <c r="J77" s="54" t="s">
        <v>72</v>
      </c>
      <c r="K77" s="9" t="s">
        <v>142</v>
      </c>
      <c r="L77" s="9" t="s">
        <v>74</v>
      </c>
      <c r="M77" s="54" t="s">
        <v>75</v>
      </c>
      <c r="N77" s="54" t="s">
        <v>76</v>
      </c>
      <c r="O77" s="9" t="s">
        <v>77</v>
      </c>
      <c r="P77" s="9" t="s">
        <v>78</v>
      </c>
      <c r="Q77" s="54" t="s">
        <v>14</v>
      </c>
      <c r="R77" s="54" t="s">
        <v>88</v>
      </c>
      <c r="S77" s="55">
        <v>0</v>
      </c>
      <c r="T77" s="9" t="s">
        <v>99</v>
      </c>
      <c r="U77" s="54" t="s">
        <v>153</v>
      </c>
      <c r="V77" s="24" t="str">
        <f t="shared" si="1"/>
        <v>Structural</v>
      </c>
      <c r="W77" s="10" t="s">
        <v>82</v>
      </c>
      <c r="X77" s="10" t="s">
        <v>83</v>
      </c>
      <c r="Y77" s="10"/>
      <c r="Z77" s="10"/>
      <c r="AA77" s="10"/>
      <c r="AB77" s="22">
        <f>_xlfn.XLOOKUP(TIDP[[#This Row],[ACTIVITY ID]],Baseline[Activity Code],Baseline[Finish],"",0)</f>
        <v>46221</v>
      </c>
      <c r="AC77" s="10"/>
      <c r="AD77" s="10"/>
      <c r="AE77" s="10"/>
      <c r="AF77" s="10"/>
      <c r="AG77" s="10"/>
      <c r="AH77" s="11"/>
    </row>
    <row r="78" spans="1:34" x14ac:dyDescent="0.3">
      <c r="A78" s="43" t="str">
        <f t="shared" si="8"/>
        <v>QF01012-NES-C04518-SDW-FWR-00-Z00000-0B20027</v>
      </c>
      <c r="B78" s="52" t="s">
        <v>177</v>
      </c>
      <c r="C78" s="8"/>
      <c r="D78" s="8"/>
      <c r="E78" s="53" t="s">
        <v>69</v>
      </c>
      <c r="F78" s="54" t="s">
        <v>70</v>
      </c>
      <c r="G78" s="9" t="s">
        <v>141</v>
      </c>
      <c r="H78" s="71">
        <v>46053</v>
      </c>
      <c r="I78" s="25"/>
      <c r="J78" s="54" t="s">
        <v>72</v>
      </c>
      <c r="K78" s="9" t="s">
        <v>142</v>
      </c>
      <c r="L78" s="9" t="s">
        <v>74</v>
      </c>
      <c r="M78" s="54" t="s">
        <v>75</v>
      </c>
      <c r="N78" s="54" t="s">
        <v>76</v>
      </c>
      <c r="O78" s="9" t="s">
        <v>77</v>
      </c>
      <c r="P78" s="9" t="s">
        <v>78</v>
      </c>
      <c r="Q78" s="54" t="s">
        <v>14</v>
      </c>
      <c r="R78" s="54" t="s">
        <v>88</v>
      </c>
      <c r="S78" s="55">
        <v>0</v>
      </c>
      <c r="T78" s="9" t="s">
        <v>99</v>
      </c>
      <c r="U78" s="54" t="s">
        <v>154</v>
      </c>
      <c r="V78" s="24" t="str">
        <f t="shared" si="1"/>
        <v>Structural</v>
      </c>
      <c r="W78" s="10" t="s">
        <v>82</v>
      </c>
      <c r="X78" s="10" t="s">
        <v>83</v>
      </c>
      <c r="Y78" s="10"/>
      <c r="Z78" s="10"/>
      <c r="AA78" s="10"/>
      <c r="AB78" s="22">
        <f>_xlfn.XLOOKUP(TIDP[[#This Row],[ACTIVITY ID]],Baseline[Activity Code],Baseline[Finish],"",0)</f>
        <v>46221</v>
      </c>
      <c r="AC78" s="10"/>
      <c r="AD78" s="10"/>
      <c r="AE78" s="10"/>
      <c r="AF78" s="10"/>
      <c r="AG78" s="10"/>
      <c r="AH78" s="11"/>
    </row>
    <row r="79" spans="1:34" x14ac:dyDescent="0.3">
      <c r="A79" s="43" t="str">
        <f>CONCATENATE(TRIM(L79),"-",TRIM(M79),"-",TRIM(N79),"-",TRIM(O79),"-",TRIM(P79),"-",TRIM(Q79),"-",TRIM(R79),"-",TRIM(S79),TRIM(T79),TRIM(U79))</f>
        <v>QF01012-NES-C04518-SDW-FWR-00-Z00000-0B20024</v>
      </c>
      <c r="B79" s="52" t="s">
        <v>178</v>
      </c>
      <c r="C79" s="8"/>
      <c r="D79" s="8"/>
      <c r="E79" s="53" t="s">
        <v>69</v>
      </c>
      <c r="F79" s="54" t="s">
        <v>70</v>
      </c>
      <c r="G79" s="9" t="s">
        <v>141</v>
      </c>
      <c r="H79" s="71">
        <v>46046</v>
      </c>
      <c r="I79" s="25"/>
      <c r="J79" s="54" t="s">
        <v>72</v>
      </c>
      <c r="K79" s="9" t="s">
        <v>142</v>
      </c>
      <c r="L79" s="9" t="s">
        <v>74</v>
      </c>
      <c r="M79" s="54" t="s">
        <v>75</v>
      </c>
      <c r="N79" s="54" t="s">
        <v>76</v>
      </c>
      <c r="O79" s="9" t="s">
        <v>77</v>
      </c>
      <c r="P79" s="9" t="s">
        <v>78</v>
      </c>
      <c r="Q79" s="54" t="s">
        <v>14</v>
      </c>
      <c r="R79" s="54" t="s">
        <v>88</v>
      </c>
      <c r="S79" s="55">
        <v>0</v>
      </c>
      <c r="T79" s="9" t="s">
        <v>99</v>
      </c>
      <c r="U79" s="54" t="s">
        <v>151</v>
      </c>
      <c r="V79" s="24" t="str">
        <f t="shared" si="1"/>
        <v>Structural</v>
      </c>
      <c r="W79" s="10" t="s">
        <v>82</v>
      </c>
      <c r="X79" s="10" t="s">
        <v>83</v>
      </c>
      <c r="Y79" s="10"/>
      <c r="Z79" s="10"/>
      <c r="AA79" s="10"/>
      <c r="AB79" s="22">
        <f>_xlfn.XLOOKUP(TIDP[[#This Row],[ACTIVITY ID]],Baseline[Activity Code],Baseline[Finish],"",0)</f>
        <v>46221</v>
      </c>
      <c r="AC79" s="10"/>
      <c r="AD79" s="10"/>
      <c r="AE79" s="10"/>
      <c r="AF79" s="10"/>
      <c r="AG79" s="10"/>
      <c r="AH79" s="11"/>
    </row>
    <row r="80" spans="1:34" x14ac:dyDescent="0.3">
      <c r="A80" s="43" t="str">
        <f t="shared" ref="A80" si="10">CONCATENATE(TRIM(L80),"-",TRIM(M80),"-",TRIM(N80),"-",TRIM(O80),"-",TRIM(P80),"-",TRIM(Q80),"-",TRIM(R80),"-",TRIM(S80),TRIM(T80),TRIM(U80))</f>
        <v>QF01012-NES-C04518-SDW-FWR-00-Z00000-0B30019</v>
      </c>
      <c r="B80" s="52" t="s">
        <v>179</v>
      </c>
      <c r="C80" s="8"/>
      <c r="D80" s="8"/>
      <c r="E80" s="53" t="s">
        <v>69</v>
      </c>
      <c r="F80" s="54" t="s">
        <v>70</v>
      </c>
      <c r="G80" s="9" t="s">
        <v>141</v>
      </c>
      <c r="H80" s="71">
        <v>46043</v>
      </c>
      <c r="I80" s="25"/>
      <c r="J80" s="54" t="s">
        <v>72</v>
      </c>
      <c r="K80" s="9" t="s">
        <v>142</v>
      </c>
      <c r="L80" s="9" t="s">
        <v>74</v>
      </c>
      <c r="M80" s="54" t="s">
        <v>75</v>
      </c>
      <c r="N80" s="54" t="s">
        <v>76</v>
      </c>
      <c r="O80" s="9" t="s">
        <v>77</v>
      </c>
      <c r="P80" s="9" t="s">
        <v>78</v>
      </c>
      <c r="Q80" s="54" t="s">
        <v>14</v>
      </c>
      <c r="R80" s="54" t="s">
        <v>88</v>
      </c>
      <c r="S80" s="55">
        <v>0</v>
      </c>
      <c r="T80" s="9" t="s">
        <v>180</v>
      </c>
      <c r="U80" s="54" t="s">
        <v>146</v>
      </c>
      <c r="V80" s="24" t="str">
        <f t="shared" si="1"/>
        <v>Structural</v>
      </c>
      <c r="W80" s="10" t="s">
        <v>82</v>
      </c>
      <c r="X80" s="10" t="s">
        <v>83</v>
      </c>
      <c r="Y80" s="10"/>
      <c r="Z80" s="10"/>
      <c r="AA80" s="10"/>
      <c r="AB80" s="22">
        <f>_xlfn.XLOOKUP(TIDP[[#This Row],[ACTIVITY ID]],Baseline[Activity Code],Baseline[Finish],"",0)</f>
        <v>46221</v>
      </c>
      <c r="AC80" s="10"/>
      <c r="AD80" s="10"/>
      <c r="AE80" s="10"/>
      <c r="AF80" s="10"/>
      <c r="AG80" s="10"/>
      <c r="AH80" s="11"/>
    </row>
    <row r="81" spans="1:34" x14ac:dyDescent="0.3">
      <c r="A81" s="43" t="str">
        <f>CONCATENATE(TRIM(L81),"-",TRIM(M81),"-",TRIM(N81),"-",TRIM(O81),"-",TRIM(P81),"-",TRIM(Q81),"-",TRIM(R81),"-",TRIM(S81),TRIM(T81),TRIM(U81))</f>
        <v>QF01012-NES-C04518-SDW-FWR-00-Z00000-0B30017</v>
      </c>
      <c r="B81" s="8" t="s">
        <v>181</v>
      </c>
      <c r="C81" s="8"/>
      <c r="D81" s="8"/>
      <c r="E81" s="8" t="s">
        <v>69</v>
      </c>
      <c r="F81" s="9" t="s">
        <v>70</v>
      </c>
      <c r="G81" s="9" t="s">
        <v>141</v>
      </c>
      <c r="H81" s="71">
        <v>46068</v>
      </c>
      <c r="I81" s="25"/>
      <c r="J81" s="9" t="s">
        <v>72</v>
      </c>
      <c r="K81" s="9" t="s">
        <v>142</v>
      </c>
      <c r="L81" s="9" t="s">
        <v>74</v>
      </c>
      <c r="M81" s="9" t="s">
        <v>75</v>
      </c>
      <c r="N81" s="9" t="s">
        <v>76</v>
      </c>
      <c r="O81" s="9" t="s">
        <v>77</v>
      </c>
      <c r="P81" s="9" t="s">
        <v>78</v>
      </c>
      <c r="Q81" s="9" t="s">
        <v>14</v>
      </c>
      <c r="R81" s="9" t="s">
        <v>88</v>
      </c>
      <c r="S81" s="9">
        <v>0</v>
      </c>
      <c r="T81" s="9" t="s">
        <v>180</v>
      </c>
      <c r="U81" s="9" t="s">
        <v>144</v>
      </c>
      <c r="V81" s="24" t="str">
        <f t="shared" si="1"/>
        <v>Structural</v>
      </c>
      <c r="W81" s="10" t="s">
        <v>82</v>
      </c>
      <c r="X81" s="10" t="s">
        <v>83</v>
      </c>
      <c r="Y81" s="10"/>
      <c r="Z81" s="10"/>
      <c r="AA81" s="10"/>
      <c r="AB81" s="22">
        <f>_xlfn.XLOOKUP(TIDP[[#This Row],[ACTIVITY ID]],Baseline[Activity Code],Baseline[Finish],"",0)</f>
        <v>46221</v>
      </c>
      <c r="AC81" s="10"/>
      <c r="AD81" s="10"/>
      <c r="AE81" s="10"/>
      <c r="AF81" s="10"/>
      <c r="AG81" s="10"/>
      <c r="AH81" s="11"/>
    </row>
    <row r="82" spans="1:34" x14ac:dyDescent="0.3">
      <c r="A82" s="61" t="str">
        <f t="shared" ref="A82" si="11">CONCATENATE(TRIM(L82),"-",TRIM(M82),"-",TRIM(N82),"-",TRIM(O82),"-",TRIM(P82),"-",TRIM(Q82),"-",TRIM(R82),"-",TRIM(S82),TRIM(T82),TRIM(U82))</f>
        <v>QF01012-NES-C04518-SDW-FWR-00-Z00000-0B30018</v>
      </c>
      <c r="B82" s="62" t="s">
        <v>182</v>
      </c>
      <c r="C82" s="62"/>
      <c r="D82" s="62"/>
      <c r="E82" s="62" t="s">
        <v>69</v>
      </c>
      <c r="F82" s="63" t="s">
        <v>70</v>
      </c>
      <c r="G82" s="63" t="s">
        <v>141</v>
      </c>
      <c r="H82" s="71">
        <v>46068</v>
      </c>
      <c r="I82" s="64"/>
      <c r="J82" s="63" t="s">
        <v>72</v>
      </c>
      <c r="K82" s="63" t="s">
        <v>142</v>
      </c>
      <c r="L82" s="63" t="s">
        <v>74</v>
      </c>
      <c r="M82" s="63" t="s">
        <v>75</v>
      </c>
      <c r="N82" s="63" t="s">
        <v>76</v>
      </c>
      <c r="O82" s="63" t="s">
        <v>77</v>
      </c>
      <c r="P82" s="63" t="s">
        <v>78</v>
      </c>
      <c r="Q82" s="63" t="s">
        <v>14</v>
      </c>
      <c r="R82" s="63" t="s">
        <v>88</v>
      </c>
      <c r="S82" s="63">
        <v>0</v>
      </c>
      <c r="T82" s="63" t="s">
        <v>180</v>
      </c>
      <c r="U82" s="63" t="s">
        <v>145</v>
      </c>
      <c r="V82" s="24" t="str">
        <f t="shared" si="1"/>
        <v>Structural</v>
      </c>
      <c r="W82" s="65" t="s">
        <v>82</v>
      </c>
      <c r="X82" s="65" t="s">
        <v>83</v>
      </c>
      <c r="Y82" s="65"/>
      <c r="Z82" s="65"/>
      <c r="AA82" s="65"/>
      <c r="AB82" s="22">
        <f>_xlfn.XLOOKUP(TIDP[[#This Row],[ACTIVITY ID]],Baseline[Activity Code],Baseline[Finish],"",0)</f>
        <v>46221</v>
      </c>
      <c r="AC82" s="65"/>
      <c r="AD82" s="65"/>
      <c r="AE82" s="65"/>
      <c r="AF82" s="65"/>
      <c r="AG82" s="65"/>
      <c r="AH82" s="66"/>
    </row>
    <row r="83" spans="1:34" x14ac:dyDescent="0.3">
      <c r="A83" s="43" t="str">
        <f t="shared" ref="A83:A95" si="12">CONCATENATE(TRIM(L83),"-",TRIM(M83),"-",TRIM(N83),"-",TRIM(O83),"-",TRIM(P83),"-",TRIM(Q83),"-",TRIM(R83),"-",TRIM(S83),TRIM(T83),TRIM(U83))</f>
        <v>QF01012-NES-C04518-SDW-FWR-00-Z00000-2B10034</v>
      </c>
      <c r="B83" s="8" t="s">
        <v>183</v>
      </c>
      <c r="C83" s="8"/>
      <c r="D83" s="8"/>
      <c r="E83" s="8" t="s">
        <v>69</v>
      </c>
      <c r="F83" s="9" t="s">
        <v>70</v>
      </c>
      <c r="G83" s="9" t="s">
        <v>141</v>
      </c>
      <c r="H83" s="71">
        <v>46219</v>
      </c>
      <c r="I83" s="25"/>
      <c r="J83" s="9" t="s">
        <v>72</v>
      </c>
      <c r="K83" s="9" t="s">
        <v>142</v>
      </c>
      <c r="L83" s="9" t="s">
        <v>74</v>
      </c>
      <c r="M83" s="9" t="s">
        <v>75</v>
      </c>
      <c r="N83" s="9" t="s">
        <v>76</v>
      </c>
      <c r="O83" s="9" t="s">
        <v>77</v>
      </c>
      <c r="P83" s="9" t="s">
        <v>78</v>
      </c>
      <c r="Q83" s="9" t="s">
        <v>14</v>
      </c>
      <c r="R83" s="9" t="s">
        <v>88</v>
      </c>
      <c r="S83" s="9" t="s">
        <v>184</v>
      </c>
      <c r="T83" s="9" t="s">
        <v>106</v>
      </c>
      <c r="U83" s="9" t="s">
        <v>161</v>
      </c>
      <c r="V83" s="24" t="str">
        <f t="shared" si="1"/>
        <v>Structural</v>
      </c>
      <c r="W83" s="10" t="s">
        <v>82</v>
      </c>
      <c r="X83" s="10" t="s">
        <v>83</v>
      </c>
      <c r="Y83" s="10"/>
      <c r="Z83" s="10"/>
      <c r="AA83" s="10"/>
      <c r="AB83" s="22">
        <f>_xlfn.XLOOKUP(TIDP[[#This Row],[ACTIVITY ID]],Baseline[Activity Code],Baseline[Finish],"",0)</f>
        <v>46221</v>
      </c>
      <c r="AC83" s="10"/>
      <c r="AD83" s="10"/>
      <c r="AE83" s="10"/>
      <c r="AF83" s="10"/>
      <c r="AG83" s="10"/>
      <c r="AH83" s="11"/>
    </row>
    <row r="84" spans="1:34" x14ac:dyDescent="0.3">
      <c r="A84" s="43" t="str">
        <f t="shared" si="12"/>
        <v>QF01012-NES-C04518-SDW-FWR-00-Z00000-2B20030</v>
      </c>
      <c r="B84" s="8" t="s">
        <v>185</v>
      </c>
      <c r="C84" s="8"/>
      <c r="D84" s="8"/>
      <c r="E84" s="8" t="s">
        <v>69</v>
      </c>
      <c r="F84" s="9" t="s">
        <v>70</v>
      </c>
      <c r="G84" s="9" t="s">
        <v>141</v>
      </c>
      <c r="H84" s="71">
        <v>46219</v>
      </c>
      <c r="I84" s="25"/>
      <c r="J84" s="9" t="s">
        <v>72</v>
      </c>
      <c r="K84" s="9" t="s">
        <v>142</v>
      </c>
      <c r="L84" s="9" t="s">
        <v>74</v>
      </c>
      <c r="M84" s="9" t="s">
        <v>75</v>
      </c>
      <c r="N84" s="9" t="s">
        <v>76</v>
      </c>
      <c r="O84" s="9" t="s">
        <v>77</v>
      </c>
      <c r="P84" s="9" t="s">
        <v>78</v>
      </c>
      <c r="Q84" s="9" t="s">
        <v>14</v>
      </c>
      <c r="R84" s="9" t="s">
        <v>88</v>
      </c>
      <c r="S84" s="9" t="s">
        <v>184</v>
      </c>
      <c r="T84" s="9" t="s">
        <v>99</v>
      </c>
      <c r="U84" s="9" t="s">
        <v>157</v>
      </c>
      <c r="V84" s="24" t="str">
        <f t="shared" si="1"/>
        <v>Structural</v>
      </c>
      <c r="W84" s="10" t="s">
        <v>82</v>
      </c>
      <c r="X84" s="10" t="s">
        <v>83</v>
      </c>
      <c r="Y84" s="10"/>
      <c r="Z84" s="10"/>
      <c r="AA84" s="10"/>
      <c r="AB84" s="22">
        <f>_xlfn.XLOOKUP(TIDP[[#This Row],[ACTIVITY ID]],Baseline[Activity Code],Baseline[Finish],"",0)</f>
        <v>46221</v>
      </c>
      <c r="AC84" s="10"/>
      <c r="AD84" s="10"/>
      <c r="AE84" s="10"/>
      <c r="AF84" s="10"/>
      <c r="AG84" s="10"/>
      <c r="AH84" s="11"/>
    </row>
    <row r="85" spans="1:34" x14ac:dyDescent="0.3">
      <c r="A85" s="43" t="str">
        <f t="shared" si="12"/>
        <v>QF01012-NES-C04518-SDW-FWR-00-Z00000-2B20031</v>
      </c>
      <c r="B85" s="8" t="s">
        <v>186</v>
      </c>
      <c r="C85" s="8"/>
      <c r="D85" s="8"/>
      <c r="E85" s="8" t="s">
        <v>69</v>
      </c>
      <c r="F85" s="9" t="s">
        <v>70</v>
      </c>
      <c r="G85" s="9" t="s">
        <v>141</v>
      </c>
      <c r="H85" s="71">
        <v>46219</v>
      </c>
      <c r="I85" s="25"/>
      <c r="J85" s="9" t="s">
        <v>72</v>
      </c>
      <c r="K85" s="9" t="s">
        <v>142</v>
      </c>
      <c r="L85" s="9" t="s">
        <v>74</v>
      </c>
      <c r="M85" s="9" t="s">
        <v>75</v>
      </c>
      <c r="N85" s="9" t="s">
        <v>76</v>
      </c>
      <c r="O85" s="9" t="s">
        <v>77</v>
      </c>
      <c r="P85" s="9" t="s">
        <v>78</v>
      </c>
      <c r="Q85" s="9" t="s">
        <v>14</v>
      </c>
      <c r="R85" s="9" t="s">
        <v>88</v>
      </c>
      <c r="S85" s="9" t="s">
        <v>184</v>
      </c>
      <c r="T85" s="9" t="s">
        <v>99</v>
      </c>
      <c r="U85" s="9" t="s">
        <v>158</v>
      </c>
      <c r="V85" s="24" t="str">
        <f t="shared" si="1"/>
        <v>Structural</v>
      </c>
      <c r="W85" s="10" t="s">
        <v>82</v>
      </c>
      <c r="X85" s="10" t="s">
        <v>83</v>
      </c>
      <c r="Y85" s="10"/>
      <c r="Z85" s="10"/>
      <c r="AA85" s="10"/>
      <c r="AB85" s="22">
        <f>_xlfn.XLOOKUP(TIDP[[#This Row],[ACTIVITY ID]],Baseline[Activity Code],Baseline[Finish],"",0)</f>
        <v>46221</v>
      </c>
      <c r="AC85" s="10"/>
      <c r="AD85" s="10"/>
      <c r="AE85" s="10"/>
      <c r="AF85" s="10"/>
      <c r="AG85" s="10"/>
      <c r="AH85" s="11"/>
    </row>
    <row r="86" spans="1:34" x14ac:dyDescent="0.3">
      <c r="A86" s="43" t="str">
        <f t="shared" si="12"/>
        <v>QF01012-NES-C04518-SDW-FWR-00-Z00000-2B20033</v>
      </c>
      <c r="B86" s="8" t="s">
        <v>187</v>
      </c>
      <c r="C86" s="8"/>
      <c r="D86" s="8"/>
      <c r="E86" s="8" t="s">
        <v>69</v>
      </c>
      <c r="F86" s="9" t="s">
        <v>70</v>
      </c>
      <c r="G86" s="9" t="s">
        <v>141</v>
      </c>
      <c r="H86" s="71">
        <v>46219</v>
      </c>
      <c r="I86" s="25"/>
      <c r="J86" s="9" t="s">
        <v>72</v>
      </c>
      <c r="K86" s="9" t="s">
        <v>142</v>
      </c>
      <c r="L86" s="9" t="s">
        <v>74</v>
      </c>
      <c r="M86" s="9" t="s">
        <v>75</v>
      </c>
      <c r="N86" s="9" t="s">
        <v>76</v>
      </c>
      <c r="O86" s="9" t="s">
        <v>77</v>
      </c>
      <c r="P86" s="9" t="s">
        <v>78</v>
      </c>
      <c r="Q86" s="9" t="s">
        <v>14</v>
      </c>
      <c r="R86" s="9" t="s">
        <v>88</v>
      </c>
      <c r="S86" s="9" t="s">
        <v>184</v>
      </c>
      <c r="T86" s="9" t="s">
        <v>99</v>
      </c>
      <c r="U86" s="9" t="s">
        <v>160</v>
      </c>
      <c r="V86" s="24" t="str">
        <f t="shared" si="1"/>
        <v>Structural</v>
      </c>
      <c r="W86" s="10" t="s">
        <v>82</v>
      </c>
      <c r="X86" s="10" t="s">
        <v>83</v>
      </c>
      <c r="Y86" s="10"/>
      <c r="Z86" s="10"/>
      <c r="AA86" s="10"/>
      <c r="AB86" s="22">
        <f>_xlfn.XLOOKUP(TIDP[[#This Row],[ACTIVITY ID]],Baseline[Activity Code],Baseline[Finish],"",0)</f>
        <v>46221</v>
      </c>
      <c r="AC86" s="10"/>
      <c r="AD86" s="10"/>
      <c r="AE86" s="10"/>
      <c r="AF86" s="10"/>
      <c r="AG86" s="10"/>
      <c r="AH86" s="11"/>
    </row>
    <row r="87" spans="1:34" x14ac:dyDescent="0.3">
      <c r="A87" s="43" t="str">
        <f t="shared" si="12"/>
        <v>QF01012-NES-C04518-SDW-FWR-00-Z00000-2B20035</v>
      </c>
      <c r="B87" s="8" t="s">
        <v>188</v>
      </c>
      <c r="C87" s="8"/>
      <c r="D87" s="8"/>
      <c r="E87" s="8" t="s">
        <v>69</v>
      </c>
      <c r="F87" s="9" t="s">
        <v>70</v>
      </c>
      <c r="G87" s="9" t="s">
        <v>141</v>
      </c>
      <c r="H87" s="71">
        <v>46068</v>
      </c>
      <c r="I87" s="25"/>
      <c r="J87" s="9" t="s">
        <v>72</v>
      </c>
      <c r="K87" s="9" t="s">
        <v>142</v>
      </c>
      <c r="L87" s="9" t="s">
        <v>74</v>
      </c>
      <c r="M87" s="9" t="s">
        <v>75</v>
      </c>
      <c r="N87" s="9" t="s">
        <v>76</v>
      </c>
      <c r="O87" s="9" t="s">
        <v>77</v>
      </c>
      <c r="P87" s="9" t="s">
        <v>78</v>
      </c>
      <c r="Q87" s="9" t="s">
        <v>14</v>
      </c>
      <c r="R87" s="9" t="s">
        <v>88</v>
      </c>
      <c r="S87" s="9" t="s">
        <v>184</v>
      </c>
      <c r="T87" s="9" t="s">
        <v>99</v>
      </c>
      <c r="U87" s="9" t="s">
        <v>162</v>
      </c>
      <c r="V87" s="24" t="str">
        <f t="shared" si="1"/>
        <v>Structural</v>
      </c>
      <c r="W87" s="10" t="s">
        <v>82</v>
      </c>
      <c r="X87" s="10" t="s">
        <v>83</v>
      </c>
      <c r="Y87" s="10"/>
      <c r="Z87" s="10"/>
      <c r="AA87" s="10"/>
      <c r="AB87" s="22">
        <f>_xlfn.XLOOKUP(TIDP[[#This Row],[ACTIVITY ID]],Baseline[Activity Code],Baseline[Finish],"",0)</f>
        <v>46221</v>
      </c>
      <c r="AC87" s="10"/>
      <c r="AD87" s="10"/>
      <c r="AE87" s="10"/>
      <c r="AF87" s="10"/>
      <c r="AG87" s="10"/>
      <c r="AH87" s="11"/>
    </row>
    <row r="88" spans="1:34" x14ac:dyDescent="0.3">
      <c r="A88" s="43" t="str">
        <f t="shared" si="12"/>
        <v>QF01012-NES-C04518-SDW-FWR-00-Z00000-2B20036</v>
      </c>
      <c r="B88" s="8" t="s">
        <v>189</v>
      </c>
      <c r="C88" s="8"/>
      <c r="D88" s="8"/>
      <c r="E88" s="8" t="s">
        <v>69</v>
      </c>
      <c r="F88" s="9" t="s">
        <v>70</v>
      </c>
      <c r="G88" s="9" t="s">
        <v>141</v>
      </c>
      <c r="H88" s="71">
        <v>46068</v>
      </c>
      <c r="I88" s="25"/>
      <c r="J88" s="9" t="s">
        <v>72</v>
      </c>
      <c r="K88" s="9" t="s">
        <v>142</v>
      </c>
      <c r="L88" s="9" t="s">
        <v>74</v>
      </c>
      <c r="M88" s="9" t="s">
        <v>75</v>
      </c>
      <c r="N88" s="9" t="s">
        <v>76</v>
      </c>
      <c r="O88" s="9" t="s">
        <v>77</v>
      </c>
      <c r="P88" s="9" t="s">
        <v>78</v>
      </c>
      <c r="Q88" s="9" t="s">
        <v>14</v>
      </c>
      <c r="R88" s="9" t="s">
        <v>88</v>
      </c>
      <c r="S88" s="9" t="s">
        <v>184</v>
      </c>
      <c r="T88" s="9" t="s">
        <v>99</v>
      </c>
      <c r="U88" s="9" t="s">
        <v>163</v>
      </c>
      <c r="V88" s="24" t="str">
        <f t="shared" si="1"/>
        <v>Structural</v>
      </c>
      <c r="W88" s="10" t="s">
        <v>82</v>
      </c>
      <c r="X88" s="10" t="s">
        <v>83</v>
      </c>
      <c r="Y88" s="10"/>
      <c r="Z88" s="10"/>
      <c r="AA88" s="10"/>
      <c r="AB88" s="22">
        <f>_xlfn.XLOOKUP(TIDP[[#This Row],[ACTIVITY ID]],Baseline[Activity Code],Baseline[Finish],"",0)</f>
        <v>46221</v>
      </c>
      <c r="AC88" s="10"/>
      <c r="AD88" s="10"/>
      <c r="AE88" s="10"/>
      <c r="AF88" s="10"/>
      <c r="AG88" s="10"/>
      <c r="AH88" s="11"/>
    </row>
    <row r="89" spans="1:34" x14ac:dyDescent="0.3">
      <c r="A89" s="43" t="str">
        <f t="shared" si="12"/>
        <v>QF01012-NES-C04518-SDW-FWR-00-Z00000-2B20037</v>
      </c>
      <c r="B89" s="8" t="s">
        <v>190</v>
      </c>
      <c r="C89" s="8"/>
      <c r="D89" s="8"/>
      <c r="E89" s="8" t="s">
        <v>69</v>
      </c>
      <c r="F89" s="9" t="s">
        <v>70</v>
      </c>
      <c r="G89" s="9" t="s">
        <v>141</v>
      </c>
      <c r="H89" s="71">
        <v>46068</v>
      </c>
      <c r="I89" s="25"/>
      <c r="J89" s="9" t="s">
        <v>72</v>
      </c>
      <c r="K89" s="9" t="s">
        <v>142</v>
      </c>
      <c r="L89" s="9" t="s">
        <v>74</v>
      </c>
      <c r="M89" s="9" t="s">
        <v>75</v>
      </c>
      <c r="N89" s="9" t="s">
        <v>76</v>
      </c>
      <c r="O89" s="9" t="s">
        <v>77</v>
      </c>
      <c r="P89" s="9" t="s">
        <v>78</v>
      </c>
      <c r="Q89" s="9" t="s">
        <v>14</v>
      </c>
      <c r="R89" s="9" t="s">
        <v>88</v>
      </c>
      <c r="S89" s="9" t="s">
        <v>184</v>
      </c>
      <c r="T89" s="9" t="s">
        <v>99</v>
      </c>
      <c r="U89" s="9" t="s">
        <v>191</v>
      </c>
      <c r="V89" s="24" t="str">
        <f t="shared" si="1"/>
        <v>Structural</v>
      </c>
      <c r="W89" s="10" t="s">
        <v>82</v>
      </c>
      <c r="X89" s="10" t="s">
        <v>83</v>
      </c>
      <c r="Y89" s="10"/>
      <c r="Z89" s="10"/>
      <c r="AA89" s="10"/>
      <c r="AB89" s="22">
        <f>_xlfn.XLOOKUP(TIDP[[#This Row],[ACTIVITY ID]],Baseline[Activity Code],Baseline[Finish],"",0)</f>
        <v>46221</v>
      </c>
      <c r="AC89" s="10"/>
      <c r="AD89" s="10"/>
      <c r="AE89" s="10"/>
      <c r="AF89" s="10"/>
      <c r="AG89" s="10"/>
      <c r="AH89" s="11"/>
    </row>
    <row r="90" spans="1:34" x14ac:dyDescent="0.3">
      <c r="A90" s="43" t="str">
        <f t="shared" si="12"/>
        <v>QF01012-NES-C04518-SDW-FWR-00-Z00000-2B20038</v>
      </c>
      <c r="B90" s="8" t="s">
        <v>192</v>
      </c>
      <c r="C90" s="8"/>
      <c r="D90" s="8"/>
      <c r="E90" s="8" t="s">
        <v>69</v>
      </c>
      <c r="F90" s="9" t="s">
        <v>70</v>
      </c>
      <c r="G90" s="9" t="s">
        <v>141</v>
      </c>
      <c r="H90" s="71">
        <v>46068</v>
      </c>
      <c r="I90" s="25"/>
      <c r="J90" s="9" t="s">
        <v>72</v>
      </c>
      <c r="K90" s="9" t="s">
        <v>142</v>
      </c>
      <c r="L90" s="9" t="s">
        <v>74</v>
      </c>
      <c r="M90" s="9" t="s">
        <v>75</v>
      </c>
      <c r="N90" s="9" t="s">
        <v>76</v>
      </c>
      <c r="O90" s="9" t="s">
        <v>77</v>
      </c>
      <c r="P90" s="9" t="s">
        <v>78</v>
      </c>
      <c r="Q90" s="9" t="s">
        <v>14</v>
      </c>
      <c r="R90" s="9" t="s">
        <v>88</v>
      </c>
      <c r="S90" s="9" t="s">
        <v>184</v>
      </c>
      <c r="T90" s="9" t="s">
        <v>99</v>
      </c>
      <c r="U90" s="9" t="s">
        <v>164</v>
      </c>
      <c r="V90" s="24" t="str">
        <f t="shared" si="1"/>
        <v>Structural</v>
      </c>
      <c r="W90" s="10" t="s">
        <v>82</v>
      </c>
      <c r="X90" s="10" t="s">
        <v>83</v>
      </c>
      <c r="Y90" s="10"/>
      <c r="Z90" s="10"/>
      <c r="AA90" s="10"/>
      <c r="AB90" s="22">
        <f>_xlfn.XLOOKUP(TIDP[[#This Row],[ACTIVITY ID]],Baseline[Activity Code],Baseline[Finish],"",0)</f>
        <v>46221</v>
      </c>
      <c r="AC90" s="10"/>
      <c r="AD90" s="10"/>
      <c r="AE90" s="10"/>
      <c r="AF90" s="10"/>
      <c r="AG90" s="10"/>
      <c r="AH90" s="11"/>
    </row>
    <row r="91" spans="1:34" x14ac:dyDescent="0.3">
      <c r="A91" s="43" t="str">
        <f t="shared" si="12"/>
        <v>QF01012-NES-C04518-SDW-FWR-00-Z00000-2B20039</v>
      </c>
      <c r="B91" s="8" t="s">
        <v>193</v>
      </c>
      <c r="C91" s="8"/>
      <c r="D91" s="8"/>
      <c r="E91" s="8" t="s">
        <v>69</v>
      </c>
      <c r="F91" s="9" t="s">
        <v>70</v>
      </c>
      <c r="G91" s="9" t="s">
        <v>141</v>
      </c>
      <c r="H91" s="71">
        <v>46068</v>
      </c>
      <c r="I91" s="25"/>
      <c r="J91" s="9" t="s">
        <v>72</v>
      </c>
      <c r="K91" s="9" t="s">
        <v>142</v>
      </c>
      <c r="L91" s="9" t="s">
        <v>74</v>
      </c>
      <c r="M91" s="9" t="s">
        <v>75</v>
      </c>
      <c r="N91" s="9" t="s">
        <v>76</v>
      </c>
      <c r="O91" s="9" t="s">
        <v>77</v>
      </c>
      <c r="P91" s="9" t="s">
        <v>78</v>
      </c>
      <c r="Q91" s="9" t="s">
        <v>14</v>
      </c>
      <c r="R91" s="9" t="s">
        <v>88</v>
      </c>
      <c r="S91" s="9" t="s">
        <v>184</v>
      </c>
      <c r="T91" s="9" t="s">
        <v>99</v>
      </c>
      <c r="U91" s="9" t="s">
        <v>165</v>
      </c>
      <c r="V91" s="24" t="str">
        <f t="shared" ref="V91:V124" si="13">IF($B$6="","",$B$6)</f>
        <v>Structural</v>
      </c>
      <c r="W91" s="10" t="s">
        <v>82</v>
      </c>
      <c r="X91" s="10" t="s">
        <v>83</v>
      </c>
      <c r="Y91" s="10"/>
      <c r="Z91" s="10"/>
      <c r="AA91" s="10"/>
      <c r="AB91" s="22">
        <f>_xlfn.XLOOKUP(TIDP[[#This Row],[ACTIVITY ID]],Baseline[Activity Code],Baseline[Finish],"",0)</f>
        <v>46221</v>
      </c>
      <c r="AC91" s="10"/>
      <c r="AD91" s="10"/>
      <c r="AE91" s="10"/>
      <c r="AF91" s="10"/>
      <c r="AG91" s="10"/>
      <c r="AH91" s="11"/>
    </row>
    <row r="92" spans="1:34" x14ac:dyDescent="0.3">
      <c r="A92" s="43" t="str">
        <f t="shared" si="12"/>
        <v>QF01012-NES-C04518-SDW-FWR-00-Z00000-2B20040</v>
      </c>
      <c r="B92" s="8" t="s">
        <v>194</v>
      </c>
      <c r="C92" s="8"/>
      <c r="D92" s="8"/>
      <c r="E92" s="8" t="s">
        <v>69</v>
      </c>
      <c r="F92" s="9" t="s">
        <v>70</v>
      </c>
      <c r="G92" s="9" t="s">
        <v>141</v>
      </c>
      <c r="H92" s="71">
        <v>46068</v>
      </c>
      <c r="I92" s="25"/>
      <c r="J92" s="9" t="s">
        <v>72</v>
      </c>
      <c r="K92" s="9" t="s">
        <v>142</v>
      </c>
      <c r="L92" s="9" t="s">
        <v>74</v>
      </c>
      <c r="M92" s="9" t="s">
        <v>75</v>
      </c>
      <c r="N92" s="9" t="s">
        <v>76</v>
      </c>
      <c r="O92" s="9" t="s">
        <v>77</v>
      </c>
      <c r="P92" s="9" t="s">
        <v>78</v>
      </c>
      <c r="Q92" s="9" t="s">
        <v>14</v>
      </c>
      <c r="R92" s="9" t="s">
        <v>88</v>
      </c>
      <c r="S92" s="9" t="s">
        <v>184</v>
      </c>
      <c r="T92" s="9" t="s">
        <v>99</v>
      </c>
      <c r="U92" s="9" t="s">
        <v>166</v>
      </c>
      <c r="V92" s="24" t="str">
        <f t="shared" si="13"/>
        <v>Structural</v>
      </c>
      <c r="W92" s="10" t="s">
        <v>82</v>
      </c>
      <c r="X92" s="10" t="s">
        <v>83</v>
      </c>
      <c r="Y92" s="10"/>
      <c r="Z92" s="10"/>
      <c r="AA92" s="10"/>
      <c r="AB92" s="22">
        <f>_xlfn.XLOOKUP(TIDP[[#This Row],[ACTIVITY ID]],Baseline[Activity Code],Baseline[Finish],"",0)</f>
        <v>46221</v>
      </c>
      <c r="AC92" s="10"/>
      <c r="AD92" s="10"/>
      <c r="AE92" s="10"/>
      <c r="AF92" s="10"/>
      <c r="AG92" s="10"/>
      <c r="AH92" s="11"/>
    </row>
    <row r="93" spans="1:34" x14ac:dyDescent="0.3">
      <c r="A93" s="43" t="str">
        <f t="shared" si="12"/>
        <v>QF01012-NES-C04518-SDW-FWR-00-Z00000-2B20041</v>
      </c>
      <c r="B93" s="8" t="s">
        <v>195</v>
      </c>
      <c r="C93" s="8"/>
      <c r="D93" s="8"/>
      <c r="E93" s="8" t="s">
        <v>69</v>
      </c>
      <c r="F93" s="9" t="s">
        <v>70</v>
      </c>
      <c r="G93" s="9" t="s">
        <v>141</v>
      </c>
      <c r="H93" s="71">
        <v>46068</v>
      </c>
      <c r="I93" s="25"/>
      <c r="J93" s="9" t="s">
        <v>72</v>
      </c>
      <c r="K93" s="9" t="s">
        <v>142</v>
      </c>
      <c r="L93" s="9" t="s">
        <v>74</v>
      </c>
      <c r="M93" s="9" t="s">
        <v>75</v>
      </c>
      <c r="N93" s="9" t="s">
        <v>76</v>
      </c>
      <c r="O93" s="9" t="s">
        <v>77</v>
      </c>
      <c r="P93" s="9" t="s">
        <v>78</v>
      </c>
      <c r="Q93" s="9" t="s">
        <v>14</v>
      </c>
      <c r="R93" s="9" t="s">
        <v>88</v>
      </c>
      <c r="S93" s="9" t="s">
        <v>184</v>
      </c>
      <c r="T93" s="9" t="s">
        <v>99</v>
      </c>
      <c r="U93" s="9" t="s">
        <v>167</v>
      </c>
      <c r="V93" s="24" t="str">
        <f t="shared" si="13"/>
        <v>Structural</v>
      </c>
      <c r="W93" s="10" t="s">
        <v>82</v>
      </c>
      <c r="X93" s="10" t="s">
        <v>83</v>
      </c>
      <c r="Y93" s="10"/>
      <c r="Z93" s="10"/>
      <c r="AA93" s="10"/>
      <c r="AB93" s="22">
        <f>_xlfn.XLOOKUP(TIDP[[#This Row],[ACTIVITY ID]],Baseline[Activity Code],Baseline[Finish],"",0)</f>
        <v>46221</v>
      </c>
      <c r="AC93" s="10"/>
      <c r="AD93" s="10"/>
      <c r="AE93" s="10"/>
      <c r="AF93" s="10"/>
      <c r="AG93" s="10"/>
      <c r="AH93" s="11"/>
    </row>
    <row r="94" spans="1:34" x14ac:dyDescent="0.3">
      <c r="A94" s="43" t="str">
        <f t="shared" si="12"/>
        <v>QF01012-NES-C04518-SDW-FWR-00-Z00000-2B20042</v>
      </c>
      <c r="B94" s="8" t="s">
        <v>196</v>
      </c>
      <c r="C94" s="8"/>
      <c r="D94" s="8"/>
      <c r="E94" s="8" t="s">
        <v>69</v>
      </c>
      <c r="F94" s="9" t="s">
        <v>70</v>
      </c>
      <c r="G94" s="9" t="s">
        <v>141</v>
      </c>
      <c r="H94" s="71">
        <v>46068</v>
      </c>
      <c r="I94" s="25"/>
      <c r="J94" s="9" t="s">
        <v>72</v>
      </c>
      <c r="K94" s="9" t="s">
        <v>142</v>
      </c>
      <c r="L94" s="9" t="s">
        <v>74</v>
      </c>
      <c r="M94" s="9" t="s">
        <v>75</v>
      </c>
      <c r="N94" s="9" t="s">
        <v>76</v>
      </c>
      <c r="O94" s="9" t="s">
        <v>77</v>
      </c>
      <c r="P94" s="9" t="s">
        <v>78</v>
      </c>
      <c r="Q94" s="9" t="s">
        <v>14</v>
      </c>
      <c r="R94" s="9" t="s">
        <v>88</v>
      </c>
      <c r="S94" s="9" t="s">
        <v>184</v>
      </c>
      <c r="T94" s="9" t="s">
        <v>99</v>
      </c>
      <c r="U94" s="9" t="s">
        <v>168</v>
      </c>
      <c r="V94" s="24" t="str">
        <f t="shared" si="13"/>
        <v>Structural</v>
      </c>
      <c r="W94" s="10" t="s">
        <v>82</v>
      </c>
      <c r="X94" s="10" t="s">
        <v>83</v>
      </c>
      <c r="Y94" s="10"/>
      <c r="Z94" s="10"/>
      <c r="AA94" s="10"/>
      <c r="AB94" s="22">
        <f>_xlfn.XLOOKUP(TIDP[[#This Row],[ACTIVITY ID]],Baseline[Activity Code],Baseline[Finish],"",0)</f>
        <v>46221</v>
      </c>
      <c r="AC94" s="10"/>
      <c r="AD94" s="10"/>
      <c r="AE94" s="10"/>
      <c r="AF94" s="10"/>
      <c r="AG94" s="10"/>
      <c r="AH94" s="11"/>
    </row>
    <row r="95" spans="1:34" x14ac:dyDescent="0.3">
      <c r="A95" s="61" t="str">
        <f t="shared" si="12"/>
        <v>QF01012-NES-C04518-SDW-FWR-00-Z00000-2B20043</v>
      </c>
      <c r="B95" s="62" t="s">
        <v>197</v>
      </c>
      <c r="C95" s="62"/>
      <c r="D95" s="62"/>
      <c r="E95" s="62" t="s">
        <v>69</v>
      </c>
      <c r="F95" s="63" t="s">
        <v>70</v>
      </c>
      <c r="G95" s="63" t="s">
        <v>141</v>
      </c>
      <c r="H95" s="71">
        <v>46068</v>
      </c>
      <c r="I95" s="64"/>
      <c r="J95" s="63" t="s">
        <v>72</v>
      </c>
      <c r="K95" s="63" t="s">
        <v>142</v>
      </c>
      <c r="L95" s="63" t="s">
        <v>74</v>
      </c>
      <c r="M95" s="63" t="s">
        <v>75</v>
      </c>
      <c r="N95" s="63" t="s">
        <v>76</v>
      </c>
      <c r="O95" s="63" t="s">
        <v>77</v>
      </c>
      <c r="P95" s="63" t="s">
        <v>78</v>
      </c>
      <c r="Q95" s="63" t="s">
        <v>14</v>
      </c>
      <c r="R95" s="63" t="s">
        <v>88</v>
      </c>
      <c r="S95" s="63" t="s">
        <v>184</v>
      </c>
      <c r="T95" s="63" t="s">
        <v>99</v>
      </c>
      <c r="U95" s="63" t="s">
        <v>169</v>
      </c>
      <c r="V95" s="24" t="str">
        <f t="shared" si="13"/>
        <v>Structural</v>
      </c>
      <c r="W95" s="65" t="s">
        <v>82</v>
      </c>
      <c r="X95" s="65" t="s">
        <v>83</v>
      </c>
      <c r="Y95" s="65"/>
      <c r="Z95" s="65"/>
      <c r="AA95" s="65"/>
      <c r="AB95" s="22">
        <f>_xlfn.XLOOKUP(TIDP[[#This Row],[ACTIVITY ID]],Baseline[Activity Code],Baseline[Finish],"",0)</f>
        <v>46221</v>
      </c>
      <c r="AC95" s="65"/>
      <c r="AD95" s="65"/>
      <c r="AE95" s="65"/>
      <c r="AF95" s="65"/>
      <c r="AG95" s="65"/>
      <c r="AH95" s="66"/>
    </row>
    <row r="96" spans="1:34" x14ac:dyDescent="0.3">
      <c r="A96" s="43" t="str">
        <f>CONCATENATE(TRIM(L96),"-",TRIM(M96),"-",TRIM(N96),"-",TRIM(O96),"-",TRIM(P96),"-",TRIM(Q96),"-",TRIM(R96),"-",TRIM(S96),TRIM(T96),TRIM(U96))</f>
        <v>QF01012-NES-C04518-SDW-FWR-00-Z00000-2B20044</v>
      </c>
      <c r="B96" s="8" t="s">
        <v>198</v>
      </c>
      <c r="C96" s="8"/>
      <c r="D96" s="62"/>
      <c r="E96" s="62" t="s">
        <v>69</v>
      </c>
      <c r="F96" s="63" t="s">
        <v>70</v>
      </c>
      <c r="G96" s="63" t="s">
        <v>141</v>
      </c>
      <c r="H96" s="71">
        <v>46068</v>
      </c>
      <c r="I96" s="25"/>
      <c r="J96" s="9" t="s">
        <v>72</v>
      </c>
      <c r="K96" s="9" t="s">
        <v>142</v>
      </c>
      <c r="L96" s="9" t="s">
        <v>74</v>
      </c>
      <c r="M96" s="9" t="s">
        <v>75</v>
      </c>
      <c r="N96" s="9" t="s">
        <v>76</v>
      </c>
      <c r="O96" s="9" t="s">
        <v>77</v>
      </c>
      <c r="P96" s="9" t="s">
        <v>78</v>
      </c>
      <c r="Q96" s="9" t="s">
        <v>14</v>
      </c>
      <c r="R96" s="9" t="s">
        <v>88</v>
      </c>
      <c r="S96" s="9" t="s">
        <v>184</v>
      </c>
      <c r="T96" s="63" t="s">
        <v>99</v>
      </c>
      <c r="U96" s="9" t="s">
        <v>170</v>
      </c>
      <c r="V96" s="24" t="str">
        <f t="shared" si="13"/>
        <v>Structural</v>
      </c>
      <c r="W96" s="65" t="s">
        <v>82</v>
      </c>
      <c r="X96" s="65" t="s">
        <v>83</v>
      </c>
      <c r="Y96" s="65"/>
      <c r="Z96" s="65"/>
      <c r="AA96" s="65"/>
      <c r="AB96" s="22">
        <f>_xlfn.XLOOKUP(TIDP[[#This Row],[ACTIVITY ID]],Baseline[Activity Code],Baseline[Finish],"",0)</f>
        <v>46221</v>
      </c>
      <c r="AC96" s="65"/>
      <c r="AD96" s="65"/>
      <c r="AE96" s="65"/>
      <c r="AF96" s="65"/>
      <c r="AG96" s="65"/>
      <c r="AH96" s="66"/>
    </row>
    <row r="97" spans="1:34" x14ac:dyDescent="0.3">
      <c r="A97" s="61" t="str">
        <f>CONCATENATE(TRIM(L97),"-",TRIM(M97),"-",TRIM(N97),"-",TRIM(O97),"-",TRIM(P97),"-",TRIM(Q97),"-",TRIM(R97),"-",TRIM(S97),TRIM(T97),TRIM(U97))</f>
        <v>QF01012-NES-C04518-CAL-FWR-00-Z00000-000010</v>
      </c>
      <c r="B97" s="62" t="s">
        <v>199</v>
      </c>
      <c r="C97" s="62"/>
      <c r="D97" s="62"/>
      <c r="E97" s="62" t="s">
        <v>69</v>
      </c>
      <c r="F97" s="63" t="s">
        <v>70</v>
      </c>
      <c r="G97" s="63" t="s">
        <v>141</v>
      </c>
      <c r="H97" s="71">
        <v>46004</v>
      </c>
      <c r="I97" s="64"/>
      <c r="J97" s="63" t="s">
        <v>72</v>
      </c>
      <c r="K97" s="63" t="s">
        <v>142</v>
      </c>
      <c r="L97" s="63" t="s">
        <v>74</v>
      </c>
      <c r="M97" s="63" t="s">
        <v>75</v>
      </c>
      <c r="N97" s="63" t="s">
        <v>76</v>
      </c>
      <c r="O97" s="63" t="s">
        <v>200</v>
      </c>
      <c r="P97" s="63" t="s">
        <v>78</v>
      </c>
      <c r="Q97" s="63" t="s">
        <v>14</v>
      </c>
      <c r="R97" s="63" t="s">
        <v>88</v>
      </c>
      <c r="S97" s="63" t="s">
        <v>201</v>
      </c>
      <c r="T97" s="63" t="s">
        <v>14</v>
      </c>
      <c r="U97" s="63" t="s">
        <v>202</v>
      </c>
      <c r="V97" s="24" t="str">
        <f t="shared" si="13"/>
        <v>Structural</v>
      </c>
      <c r="W97" s="65" t="s">
        <v>82</v>
      </c>
      <c r="X97" s="65" t="s">
        <v>83</v>
      </c>
      <c r="Y97" s="65"/>
      <c r="Z97" s="65"/>
      <c r="AA97" s="65"/>
      <c r="AB97" s="22">
        <f>_xlfn.XLOOKUP(TIDP[[#This Row],[ACTIVITY ID]],Baseline[Activity Code],Baseline[Finish],"",0)</f>
        <v>46221</v>
      </c>
      <c r="AC97" s="65"/>
      <c r="AD97" s="65"/>
      <c r="AE97" s="65"/>
      <c r="AF97" s="65"/>
      <c r="AG97" s="65"/>
      <c r="AH97" s="66"/>
    </row>
    <row r="98" spans="1:34" x14ac:dyDescent="0.3">
      <c r="A98" s="43" t="str">
        <f>CONCATENATE(TRIM(L98),"-",TRIM(M98),"-",TRIM(N98),"-",TRIM(O98),"-",TRIM(P98),"-",TRIM(Q98),"-",TRIM(R98),"-",TRIM(S98),TRIM(T98),TRIM(U98))</f>
        <v>QF01012-NES-C04518-SDW-FWR-00-CENT01-2B20051</v>
      </c>
      <c r="B98" s="62" t="s">
        <v>128</v>
      </c>
      <c r="C98" s="8"/>
      <c r="D98" s="8"/>
      <c r="E98" s="62" t="s">
        <v>69</v>
      </c>
      <c r="F98" s="63" t="s">
        <v>70</v>
      </c>
      <c r="G98" s="63" t="s">
        <v>141</v>
      </c>
      <c r="H98" s="71">
        <v>46098</v>
      </c>
      <c r="I98" s="64"/>
      <c r="J98" s="63" t="s">
        <v>72</v>
      </c>
      <c r="K98" s="63" t="s">
        <v>142</v>
      </c>
      <c r="L98" s="63" t="s">
        <v>74</v>
      </c>
      <c r="M98" s="63" t="s">
        <v>75</v>
      </c>
      <c r="N98" s="63" t="s">
        <v>76</v>
      </c>
      <c r="O98" s="63" t="s">
        <v>77</v>
      </c>
      <c r="P98" s="63" t="s">
        <v>78</v>
      </c>
      <c r="Q98" s="63" t="s">
        <v>14</v>
      </c>
      <c r="R98" s="63" t="s">
        <v>203</v>
      </c>
      <c r="S98" s="63" t="s">
        <v>184</v>
      </c>
      <c r="T98" s="63" t="s">
        <v>99</v>
      </c>
      <c r="U98" s="63" t="s">
        <v>204</v>
      </c>
      <c r="V98" s="24" t="str">
        <f t="shared" si="13"/>
        <v>Structural</v>
      </c>
      <c r="W98" s="65" t="s">
        <v>82</v>
      </c>
      <c r="X98" s="65" t="s">
        <v>83</v>
      </c>
      <c r="Y98" s="65"/>
      <c r="Z98" s="65"/>
      <c r="AA98" s="65"/>
      <c r="AB98" s="22">
        <f>_xlfn.XLOOKUP(TIDP[[#This Row],[ACTIVITY ID]],Baseline[Activity Code],Baseline[Finish],"",0)</f>
        <v>46221</v>
      </c>
      <c r="AC98" s="65"/>
      <c r="AD98" s="65"/>
      <c r="AE98" s="65"/>
      <c r="AF98" s="65"/>
      <c r="AG98" s="65"/>
      <c r="AH98" s="66"/>
    </row>
    <row r="99" spans="1:34" x14ac:dyDescent="0.3">
      <c r="A99" s="61" t="str">
        <f>CONCATENATE(TRIM(L99),"-",TRIM(M99),"-",TRIM(N99),"-",TRIM(O99),"-",TRIM(P99),"-",TRIM(Q99),"-",TRIM(R99),"-",TRIM(S99),TRIM(T99),TRIM(U99))</f>
        <v>QF01012-NES-C04518-SDW-FWR-00-Z00000-2B20050</v>
      </c>
      <c r="B99" s="62" t="s">
        <v>205</v>
      </c>
      <c r="C99" s="62"/>
      <c r="D99" s="62"/>
      <c r="E99" s="62" t="s">
        <v>69</v>
      </c>
      <c r="F99" s="63" t="s">
        <v>70</v>
      </c>
      <c r="G99" s="63" t="s">
        <v>141</v>
      </c>
      <c r="H99" s="70">
        <v>46070</v>
      </c>
      <c r="I99" s="64"/>
      <c r="J99" s="63" t="s">
        <v>72</v>
      </c>
      <c r="K99" s="63" t="s">
        <v>142</v>
      </c>
      <c r="L99" s="63" t="s">
        <v>74</v>
      </c>
      <c r="M99" s="63" t="s">
        <v>75</v>
      </c>
      <c r="N99" s="63" t="s">
        <v>76</v>
      </c>
      <c r="O99" s="63" t="s">
        <v>77</v>
      </c>
      <c r="P99" s="63" t="s">
        <v>78</v>
      </c>
      <c r="Q99" s="63" t="s">
        <v>14</v>
      </c>
      <c r="R99" s="63" t="s">
        <v>88</v>
      </c>
      <c r="S99" s="63" t="s">
        <v>184</v>
      </c>
      <c r="T99" s="63" t="s">
        <v>99</v>
      </c>
      <c r="U99" s="63" t="s">
        <v>206</v>
      </c>
      <c r="V99" s="24" t="str">
        <f t="shared" si="13"/>
        <v>Structural</v>
      </c>
      <c r="W99" s="65" t="s">
        <v>82</v>
      </c>
      <c r="X99" s="65" t="s">
        <v>83</v>
      </c>
      <c r="Y99" s="65"/>
      <c r="Z99" s="65"/>
      <c r="AA99" s="65"/>
      <c r="AB99" s="22">
        <f>_xlfn.XLOOKUP(TIDP[[#This Row],[ACTIVITY ID]],Baseline[Activity Code],Baseline[Finish],"",0)</f>
        <v>46221</v>
      </c>
      <c r="AC99" s="65"/>
      <c r="AD99" s="65"/>
      <c r="AE99" s="65"/>
      <c r="AF99" s="65"/>
      <c r="AG99" s="65"/>
      <c r="AH99" s="66"/>
    </row>
    <row r="100" spans="1:34" x14ac:dyDescent="0.3">
      <c r="A100" s="61" t="str">
        <f>CONCATENATE(TRIM(L100),"-",TRIM(M100),"-",TRIM(N100),"-",TRIM(O100),"-",TRIM(P100),"-",TRIM(Q100),"-",TRIM(R100),"-",TRIM(S100),TRIM(T100),TRIM(U100))</f>
        <v>QF01012-NES-C04518-ANL-FWR-00-Z00000-000001</v>
      </c>
      <c r="B100" s="68" t="s">
        <v>207</v>
      </c>
      <c r="C100" s="62"/>
      <c r="D100" s="62"/>
      <c r="E100" s="62" t="s">
        <v>69</v>
      </c>
      <c r="F100" s="63" t="s">
        <v>70</v>
      </c>
      <c r="G100" s="63" t="s">
        <v>141</v>
      </c>
      <c r="H100" s="71">
        <v>46022</v>
      </c>
      <c r="I100" s="64" t="s">
        <v>208</v>
      </c>
      <c r="J100" s="63" t="s">
        <v>72</v>
      </c>
      <c r="K100" s="63" t="s">
        <v>142</v>
      </c>
      <c r="L100" s="63" t="s">
        <v>74</v>
      </c>
      <c r="M100" s="63" t="s">
        <v>75</v>
      </c>
      <c r="N100" s="63" t="s">
        <v>76</v>
      </c>
      <c r="O100" s="63" t="s">
        <v>209</v>
      </c>
      <c r="P100" s="63" t="s">
        <v>78</v>
      </c>
      <c r="Q100" s="63" t="s">
        <v>14</v>
      </c>
      <c r="R100" s="63" t="s">
        <v>88</v>
      </c>
      <c r="S100" s="63">
        <v>0</v>
      </c>
      <c r="T100" s="63" t="s">
        <v>14</v>
      </c>
      <c r="U100" s="63" t="s">
        <v>210</v>
      </c>
      <c r="V100" s="24" t="str">
        <f t="shared" si="13"/>
        <v>Structural</v>
      </c>
      <c r="W100" s="65" t="s">
        <v>82</v>
      </c>
      <c r="X100" s="65" t="s">
        <v>83</v>
      </c>
      <c r="Y100" s="65"/>
      <c r="Z100" s="65" t="s">
        <v>208</v>
      </c>
      <c r="AA100" s="65" t="s">
        <v>208</v>
      </c>
      <c r="AB100" s="22">
        <f>_xlfn.XLOOKUP(TIDP[[#This Row],[ACTIVITY ID]],Baseline[Activity Code],Baseline[Finish],"",0)</f>
        <v>46221</v>
      </c>
      <c r="AC100" s="65"/>
      <c r="AD100" s="65"/>
      <c r="AE100" s="65" t="s">
        <v>208</v>
      </c>
      <c r="AF100" s="65" t="s">
        <v>208</v>
      </c>
      <c r="AG100" s="65" t="s">
        <v>208</v>
      </c>
      <c r="AH100" s="66" t="s">
        <v>208</v>
      </c>
    </row>
    <row r="101" spans="1:34" x14ac:dyDescent="0.3">
      <c r="A101" s="43" t="str">
        <f t="shared" ref="A101:A110" si="14">CONCATENATE(TRIM(L101),"-",TRIM(M101),"-",TRIM(N101),"-",TRIM(O101),"-",TRIM(P101),"-",TRIM(Q101),"-",TRIM(R101),"-",TRIM(S101),TRIM(T101),TRIM(U101))</f>
        <v>QF01012-NES-C04518-ANL-FWR-00-Z00000-000002</v>
      </c>
      <c r="B101" s="69" t="s">
        <v>211</v>
      </c>
      <c r="C101" s="8"/>
      <c r="D101" s="8"/>
      <c r="E101" s="8" t="s">
        <v>69</v>
      </c>
      <c r="F101" s="9" t="s">
        <v>70</v>
      </c>
      <c r="G101" s="9" t="s">
        <v>141</v>
      </c>
      <c r="H101" s="71">
        <v>46004</v>
      </c>
      <c r="I101" s="25"/>
      <c r="J101" s="9" t="s">
        <v>72</v>
      </c>
      <c r="K101" s="9" t="s">
        <v>142</v>
      </c>
      <c r="L101" s="9" t="s">
        <v>74</v>
      </c>
      <c r="M101" s="9" t="s">
        <v>75</v>
      </c>
      <c r="N101" s="9" t="s">
        <v>76</v>
      </c>
      <c r="O101" s="9" t="s">
        <v>209</v>
      </c>
      <c r="P101" s="9" t="s">
        <v>78</v>
      </c>
      <c r="Q101" s="9" t="s">
        <v>14</v>
      </c>
      <c r="R101" s="9" t="s">
        <v>88</v>
      </c>
      <c r="S101" s="9">
        <v>0</v>
      </c>
      <c r="T101" s="9" t="s">
        <v>14</v>
      </c>
      <c r="U101" s="9" t="s">
        <v>212</v>
      </c>
      <c r="V101" s="24" t="str">
        <f t="shared" si="13"/>
        <v>Structural</v>
      </c>
      <c r="W101" s="10" t="s">
        <v>82</v>
      </c>
      <c r="X101" s="10" t="s">
        <v>83</v>
      </c>
      <c r="Y101" s="10"/>
      <c r="Z101" s="10"/>
      <c r="AA101" s="10"/>
      <c r="AB101" s="22">
        <f>_xlfn.XLOOKUP(TIDP[[#This Row],[ACTIVITY ID]],Baseline[Activity Code],Baseline[Finish],"",0)</f>
        <v>46221</v>
      </c>
      <c r="AC101" s="10"/>
      <c r="AD101" s="10"/>
      <c r="AE101" s="10"/>
      <c r="AF101" s="10"/>
      <c r="AG101" s="10"/>
      <c r="AH101" s="11"/>
    </row>
    <row r="102" spans="1:34" x14ac:dyDescent="0.3">
      <c r="A102" s="43" t="str">
        <f t="shared" si="14"/>
        <v>QF01012-NES-C04518-ANL-FWR-00-Z00000-000003</v>
      </c>
      <c r="B102" s="69" t="s">
        <v>213</v>
      </c>
      <c r="C102" s="8"/>
      <c r="D102" s="8"/>
      <c r="E102" s="8" t="s">
        <v>69</v>
      </c>
      <c r="F102" s="9" t="s">
        <v>70</v>
      </c>
      <c r="G102" s="9" t="s">
        <v>141</v>
      </c>
      <c r="H102" s="71">
        <v>46004</v>
      </c>
      <c r="I102" s="25"/>
      <c r="J102" s="9" t="s">
        <v>72</v>
      </c>
      <c r="K102" s="9" t="s">
        <v>142</v>
      </c>
      <c r="L102" s="9" t="s">
        <v>74</v>
      </c>
      <c r="M102" s="9" t="s">
        <v>75</v>
      </c>
      <c r="N102" s="9" t="s">
        <v>76</v>
      </c>
      <c r="O102" s="9" t="s">
        <v>209</v>
      </c>
      <c r="P102" s="9" t="s">
        <v>78</v>
      </c>
      <c r="Q102" s="9" t="s">
        <v>14</v>
      </c>
      <c r="R102" s="9" t="s">
        <v>88</v>
      </c>
      <c r="S102" s="9">
        <v>0</v>
      </c>
      <c r="T102" s="9" t="s">
        <v>14</v>
      </c>
      <c r="U102" s="9" t="s">
        <v>214</v>
      </c>
      <c r="V102" s="24" t="str">
        <f t="shared" si="13"/>
        <v>Structural</v>
      </c>
      <c r="W102" s="10" t="s">
        <v>82</v>
      </c>
      <c r="X102" s="10" t="s">
        <v>83</v>
      </c>
      <c r="Y102" s="10"/>
      <c r="Z102" s="10"/>
      <c r="AA102" s="10"/>
      <c r="AB102" s="22">
        <f>_xlfn.XLOOKUP(TIDP[[#This Row],[ACTIVITY ID]],Baseline[Activity Code],Baseline[Finish],"",0)</f>
        <v>46221</v>
      </c>
      <c r="AC102" s="10"/>
      <c r="AD102" s="10"/>
      <c r="AE102" s="10"/>
      <c r="AF102" s="10"/>
      <c r="AG102" s="10"/>
      <c r="AH102" s="11"/>
    </row>
    <row r="103" spans="1:34" x14ac:dyDescent="0.3">
      <c r="A103" s="43" t="str">
        <f t="shared" si="14"/>
        <v>QF01012-NES-C04518-ANL-FWR-00-Z00000-000004</v>
      </c>
      <c r="B103" s="69" t="s">
        <v>215</v>
      </c>
      <c r="C103" s="8"/>
      <c r="D103" s="8"/>
      <c r="E103" s="8" t="s">
        <v>69</v>
      </c>
      <c r="F103" s="9" t="s">
        <v>70</v>
      </c>
      <c r="G103" s="9" t="s">
        <v>141</v>
      </c>
      <c r="H103" s="71">
        <v>46004</v>
      </c>
      <c r="I103" s="25"/>
      <c r="J103" s="9" t="s">
        <v>72</v>
      </c>
      <c r="K103" s="9" t="s">
        <v>142</v>
      </c>
      <c r="L103" s="9" t="s">
        <v>74</v>
      </c>
      <c r="M103" s="9" t="s">
        <v>75</v>
      </c>
      <c r="N103" s="9" t="s">
        <v>76</v>
      </c>
      <c r="O103" s="9" t="s">
        <v>209</v>
      </c>
      <c r="P103" s="9" t="s">
        <v>78</v>
      </c>
      <c r="Q103" s="9" t="s">
        <v>14</v>
      </c>
      <c r="R103" s="9" t="s">
        <v>88</v>
      </c>
      <c r="S103" s="9">
        <v>0</v>
      </c>
      <c r="T103" s="9" t="s">
        <v>14</v>
      </c>
      <c r="U103" s="9" t="s">
        <v>216</v>
      </c>
      <c r="V103" s="24" t="str">
        <f t="shared" si="13"/>
        <v>Structural</v>
      </c>
      <c r="W103" s="10" t="s">
        <v>82</v>
      </c>
      <c r="X103" s="10" t="s">
        <v>83</v>
      </c>
      <c r="Y103" s="10"/>
      <c r="Z103" s="10"/>
      <c r="AA103" s="10"/>
      <c r="AB103" s="22">
        <f>_xlfn.XLOOKUP(TIDP[[#This Row],[ACTIVITY ID]],Baseline[Activity Code],Baseline[Finish],"",0)</f>
        <v>46221</v>
      </c>
      <c r="AC103" s="10"/>
      <c r="AD103" s="10"/>
      <c r="AE103" s="10"/>
      <c r="AF103" s="10"/>
      <c r="AG103" s="10"/>
      <c r="AH103" s="11"/>
    </row>
    <row r="104" spans="1:34" x14ac:dyDescent="0.3">
      <c r="A104" s="43" t="str">
        <f t="shared" si="14"/>
        <v>QF01012-NES-C04518-ANL-FWR-00-Z00000-000005</v>
      </c>
      <c r="B104" s="69" t="s">
        <v>217</v>
      </c>
      <c r="C104" s="8"/>
      <c r="D104" s="8"/>
      <c r="E104" s="8" t="s">
        <v>69</v>
      </c>
      <c r="F104" s="9" t="s">
        <v>70</v>
      </c>
      <c r="G104" s="9" t="s">
        <v>141</v>
      </c>
      <c r="H104" s="71">
        <v>46042</v>
      </c>
      <c r="I104" s="25"/>
      <c r="J104" s="9" t="s">
        <v>72</v>
      </c>
      <c r="K104" s="9" t="s">
        <v>142</v>
      </c>
      <c r="L104" s="9" t="s">
        <v>74</v>
      </c>
      <c r="M104" s="9" t="s">
        <v>75</v>
      </c>
      <c r="N104" s="9" t="s">
        <v>76</v>
      </c>
      <c r="O104" s="9" t="s">
        <v>209</v>
      </c>
      <c r="P104" s="9" t="s">
        <v>78</v>
      </c>
      <c r="Q104" s="9" t="s">
        <v>14</v>
      </c>
      <c r="R104" s="9" t="s">
        <v>88</v>
      </c>
      <c r="S104" s="9">
        <v>0</v>
      </c>
      <c r="T104" s="9" t="s">
        <v>14</v>
      </c>
      <c r="U104" s="9" t="s">
        <v>218</v>
      </c>
      <c r="V104" s="24" t="str">
        <f t="shared" si="13"/>
        <v>Structural</v>
      </c>
      <c r="W104" s="10" t="s">
        <v>82</v>
      </c>
      <c r="X104" s="10" t="s">
        <v>83</v>
      </c>
      <c r="Y104" s="10"/>
      <c r="Z104" s="10"/>
      <c r="AA104" s="10"/>
      <c r="AB104" s="22">
        <f>_xlfn.XLOOKUP(TIDP[[#This Row],[ACTIVITY ID]],Baseline[Activity Code],Baseline[Finish],"",0)</f>
        <v>46221</v>
      </c>
      <c r="AC104" s="10"/>
      <c r="AD104" s="10"/>
      <c r="AE104" s="10"/>
      <c r="AF104" s="10"/>
      <c r="AG104" s="10"/>
      <c r="AH104" s="11"/>
    </row>
    <row r="105" spans="1:34" x14ac:dyDescent="0.3">
      <c r="A105" s="43" t="str">
        <f t="shared" si="14"/>
        <v>QF01012-NES-C04518-ANL-FWR-00-Z00000-000006</v>
      </c>
      <c r="B105" s="69" t="s">
        <v>219</v>
      </c>
      <c r="C105" s="8"/>
      <c r="D105" s="8"/>
      <c r="E105" s="8" t="s">
        <v>69</v>
      </c>
      <c r="F105" s="9" t="s">
        <v>70</v>
      </c>
      <c r="G105" s="9" t="s">
        <v>141</v>
      </c>
      <c r="H105" s="71">
        <v>46043</v>
      </c>
      <c r="I105" s="25"/>
      <c r="J105" s="9" t="s">
        <v>72</v>
      </c>
      <c r="K105" s="9" t="s">
        <v>142</v>
      </c>
      <c r="L105" s="9" t="s">
        <v>74</v>
      </c>
      <c r="M105" s="9" t="s">
        <v>75</v>
      </c>
      <c r="N105" s="9" t="s">
        <v>76</v>
      </c>
      <c r="O105" s="9" t="s">
        <v>209</v>
      </c>
      <c r="P105" s="9" t="s">
        <v>78</v>
      </c>
      <c r="Q105" s="9" t="s">
        <v>14</v>
      </c>
      <c r="R105" s="9" t="s">
        <v>88</v>
      </c>
      <c r="S105" s="9">
        <v>0</v>
      </c>
      <c r="T105" s="9" t="s">
        <v>14</v>
      </c>
      <c r="U105" s="9" t="s">
        <v>220</v>
      </c>
      <c r="V105" s="24" t="str">
        <f t="shared" si="13"/>
        <v>Structural</v>
      </c>
      <c r="W105" s="10" t="s">
        <v>82</v>
      </c>
      <c r="X105" s="10" t="s">
        <v>83</v>
      </c>
      <c r="Y105" s="10"/>
      <c r="Z105" s="10"/>
      <c r="AA105" s="10"/>
      <c r="AB105" s="22">
        <f>_xlfn.XLOOKUP(TIDP[[#This Row],[ACTIVITY ID]],Baseline[Activity Code],Baseline[Finish],"",0)</f>
        <v>46221</v>
      </c>
      <c r="AC105" s="10"/>
      <c r="AD105" s="10"/>
      <c r="AE105" s="10"/>
      <c r="AF105" s="10"/>
      <c r="AG105" s="10"/>
      <c r="AH105" s="11"/>
    </row>
    <row r="106" spans="1:34" x14ac:dyDescent="0.3">
      <c r="A106" s="43" t="str">
        <f t="shared" si="14"/>
        <v>QF01012-NES-C04518-CAL-FWR-00-Z00000-000001</v>
      </c>
      <c r="B106" s="69" t="s">
        <v>221</v>
      </c>
      <c r="C106" s="8"/>
      <c r="D106" s="8"/>
      <c r="E106" s="8" t="s">
        <v>69</v>
      </c>
      <c r="F106" s="9" t="s">
        <v>70</v>
      </c>
      <c r="G106" s="9" t="s">
        <v>141</v>
      </c>
      <c r="H106" s="71">
        <v>46004</v>
      </c>
      <c r="I106" s="25"/>
      <c r="J106" s="9" t="s">
        <v>72</v>
      </c>
      <c r="K106" s="9" t="s">
        <v>142</v>
      </c>
      <c r="L106" s="9" t="s">
        <v>74</v>
      </c>
      <c r="M106" s="9" t="s">
        <v>75</v>
      </c>
      <c r="N106" s="9" t="s">
        <v>76</v>
      </c>
      <c r="O106" s="9" t="s">
        <v>200</v>
      </c>
      <c r="P106" s="9" t="s">
        <v>78</v>
      </c>
      <c r="Q106" s="9" t="s">
        <v>14</v>
      </c>
      <c r="R106" s="9" t="s">
        <v>88</v>
      </c>
      <c r="S106" s="9">
        <v>0</v>
      </c>
      <c r="T106" s="9" t="s">
        <v>14</v>
      </c>
      <c r="U106" s="9" t="s">
        <v>210</v>
      </c>
      <c r="V106" s="24" t="str">
        <f t="shared" si="13"/>
        <v>Structural</v>
      </c>
      <c r="W106" s="10" t="s">
        <v>82</v>
      </c>
      <c r="X106" s="10" t="s">
        <v>83</v>
      </c>
      <c r="Y106" s="10"/>
      <c r="Z106" s="10"/>
      <c r="AA106" s="10"/>
      <c r="AB106" s="22">
        <f>_xlfn.XLOOKUP(TIDP[[#This Row],[ACTIVITY ID]],Baseline[Activity Code],Baseline[Finish],"",0)</f>
        <v>46221</v>
      </c>
      <c r="AC106" s="10"/>
      <c r="AD106" s="10"/>
      <c r="AE106" s="10"/>
      <c r="AF106" s="10"/>
      <c r="AG106" s="10"/>
      <c r="AH106" s="11"/>
    </row>
    <row r="107" spans="1:34" x14ac:dyDescent="0.3">
      <c r="A107" s="43" t="str">
        <f t="shared" si="14"/>
        <v>QF01012-NES-C04518-CAL-FWR-00-Z00000-000002</v>
      </c>
      <c r="B107" s="69" t="s">
        <v>222</v>
      </c>
      <c r="C107" s="8"/>
      <c r="D107" s="8"/>
      <c r="E107" s="8" t="s">
        <v>69</v>
      </c>
      <c r="F107" s="9" t="s">
        <v>70</v>
      </c>
      <c r="G107" s="9" t="s">
        <v>141</v>
      </c>
      <c r="H107" s="71">
        <v>46004</v>
      </c>
      <c r="I107" s="25"/>
      <c r="J107" s="9" t="s">
        <v>72</v>
      </c>
      <c r="K107" s="9" t="s">
        <v>142</v>
      </c>
      <c r="L107" s="9" t="s">
        <v>74</v>
      </c>
      <c r="M107" s="9" t="s">
        <v>75</v>
      </c>
      <c r="N107" s="9" t="s">
        <v>76</v>
      </c>
      <c r="O107" s="9" t="s">
        <v>200</v>
      </c>
      <c r="P107" s="9" t="s">
        <v>78</v>
      </c>
      <c r="Q107" s="9" t="s">
        <v>14</v>
      </c>
      <c r="R107" s="9" t="s">
        <v>88</v>
      </c>
      <c r="S107" s="9">
        <v>0</v>
      </c>
      <c r="T107" s="9" t="s">
        <v>14</v>
      </c>
      <c r="U107" s="9" t="s">
        <v>212</v>
      </c>
      <c r="V107" s="24" t="str">
        <f t="shared" si="13"/>
        <v>Structural</v>
      </c>
      <c r="W107" s="10" t="s">
        <v>82</v>
      </c>
      <c r="X107" s="10" t="s">
        <v>83</v>
      </c>
      <c r="Y107" s="10"/>
      <c r="Z107" s="10"/>
      <c r="AA107" s="10"/>
      <c r="AB107" s="22">
        <f>_xlfn.XLOOKUP(TIDP[[#This Row],[ACTIVITY ID]],Baseline[Activity Code],Baseline[Finish],"",0)</f>
        <v>46221</v>
      </c>
      <c r="AC107" s="10"/>
      <c r="AD107" s="10"/>
      <c r="AE107" s="10"/>
      <c r="AF107" s="10"/>
      <c r="AG107" s="10"/>
      <c r="AH107" s="11"/>
    </row>
    <row r="108" spans="1:34" x14ac:dyDescent="0.3">
      <c r="A108" s="43" t="str">
        <f t="shared" si="14"/>
        <v>QF01012-NES-C04518-CAL-FWR-00-Z00000-000003</v>
      </c>
      <c r="B108" s="69" t="s">
        <v>223</v>
      </c>
      <c r="C108" s="8"/>
      <c r="D108" s="8"/>
      <c r="E108" s="8" t="s">
        <v>69</v>
      </c>
      <c r="F108" s="9" t="s">
        <v>70</v>
      </c>
      <c r="G108" s="9" t="s">
        <v>141</v>
      </c>
      <c r="H108" s="71">
        <v>46004</v>
      </c>
      <c r="I108" s="25"/>
      <c r="J108" s="9" t="s">
        <v>72</v>
      </c>
      <c r="K108" s="9" t="s">
        <v>142</v>
      </c>
      <c r="L108" s="9" t="s">
        <v>74</v>
      </c>
      <c r="M108" s="9" t="s">
        <v>75</v>
      </c>
      <c r="N108" s="9" t="s">
        <v>76</v>
      </c>
      <c r="O108" s="9" t="s">
        <v>200</v>
      </c>
      <c r="P108" s="9" t="s">
        <v>78</v>
      </c>
      <c r="Q108" s="9" t="s">
        <v>14</v>
      </c>
      <c r="R108" s="9" t="s">
        <v>88</v>
      </c>
      <c r="S108" s="9">
        <v>0</v>
      </c>
      <c r="T108" s="9" t="s">
        <v>14</v>
      </c>
      <c r="U108" s="9" t="s">
        <v>214</v>
      </c>
      <c r="V108" s="24" t="str">
        <f t="shared" si="13"/>
        <v>Structural</v>
      </c>
      <c r="W108" s="10" t="s">
        <v>82</v>
      </c>
      <c r="X108" s="10" t="s">
        <v>83</v>
      </c>
      <c r="Y108" s="10"/>
      <c r="Z108" s="10"/>
      <c r="AA108" s="10"/>
      <c r="AB108" s="22">
        <f>_xlfn.XLOOKUP(TIDP[[#This Row],[ACTIVITY ID]],Baseline[Activity Code],Baseline[Finish],"",0)</f>
        <v>46221</v>
      </c>
      <c r="AC108" s="10"/>
      <c r="AD108" s="10"/>
      <c r="AE108" s="10"/>
      <c r="AF108" s="10"/>
      <c r="AG108" s="10"/>
      <c r="AH108" s="11"/>
    </row>
    <row r="109" spans="1:34" x14ac:dyDescent="0.3">
      <c r="A109" s="43" t="str">
        <f t="shared" si="14"/>
        <v>QF01012-NES-C04518-CAL-FWR-00-Z00000-000004</v>
      </c>
      <c r="B109" s="69" t="s">
        <v>224</v>
      </c>
      <c r="C109" s="8"/>
      <c r="D109" s="8"/>
      <c r="E109" s="8" t="s">
        <v>69</v>
      </c>
      <c r="F109" s="9" t="s">
        <v>70</v>
      </c>
      <c r="G109" s="9" t="s">
        <v>141</v>
      </c>
      <c r="H109" s="71">
        <v>46004</v>
      </c>
      <c r="I109" s="25"/>
      <c r="J109" s="9" t="s">
        <v>72</v>
      </c>
      <c r="K109" s="9" t="s">
        <v>142</v>
      </c>
      <c r="L109" s="9" t="s">
        <v>74</v>
      </c>
      <c r="M109" s="9" t="s">
        <v>75</v>
      </c>
      <c r="N109" s="9" t="s">
        <v>76</v>
      </c>
      <c r="O109" s="9" t="s">
        <v>200</v>
      </c>
      <c r="P109" s="9" t="s">
        <v>78</v>
      </c>
      <c r="Q109" s="9" t="s">
        <v>14</v>
      </c>
      <c r="R109" s="9" t="s">
        <v>88</v>
      </c>
      <c r="S109" s="9">
        <v>0</v>
      </c>
      <c r="T109" s="9" t="s">
        <v>14</v>
      </c>
      <c r="U109" s="9" t="s">
        <v>216</v>
      </c>
      <c r="V109" s="24" t="str">
        <f t="shared" si="13"/>
        <v>Structural</v>
      </c>
      <c r="W109" s="10" t="s">
        <v>82</v>
      </c>
      <c r="X109" s="10" t="s">
        <v>83</v>
      </c>
      <c r="Y109" s="10"/>
      <c r="Z109" s="10"/>
      <c r="AA109" s="10"/>
      <c r="AB109" s="22">
        <f>_xlfn.XLOOKUP(TIDP[[#This Row],[ACTIVITY ID]],Baseline[Activity Code],Baseline[Finish],"",0)</f>
        <v>46221</v>
      </c>
      <c r="AC109" s="10"/>
      <c r="AD109" s="10"/>
      <c r="AE109" s="10"/>
      <c r="AF109" s="10"/>
      <c r="AG109" s="10"/>
      <c r="AH109" s="11"/>
    </row>
    <row r="110" spans="1:34" x14ac:dyDescent="0.3">
      <c r="A110" s="43" t="str">
        <f t="shared" si="14"/>
        <v>QF01012-NES-C04518-CAL-FWR-00-Z00000-000005</v>
      </c>
      <c r="B110" s="69" t="s">
        <v>225</v>
      </c>
      <c r="C110" s="8"/>
      <c r="D110" s="8"/>
      <c r="E110" s="8" t="s">
        <v>69</v>
      </c>
      <c r="F110" s="9" t="s">
        <v>70</v>
      </c>
      <c r="G110" s="9" t="s">
        <v>141</v>
      </c>
      <c r="H110" s="71">
        <v>46004</v>
      </c>
      <c r="I110" s="25"/>
      <c r="J110" s="9" t="s">
        <v>72</v>
      </c>
      <c r="K110" s="9" t="s">
        <v>142</v>
      </c>
      <c r="L110" s="9" t="s">
        <v>74</v>
      </c>
      <c r="M110" s="9" t="s">
        <v>75</v>
      </c>
      <c r="N110" s="9" t="s">
        <v>76</v>
      </c>
      <c r="O110" s="9" t="s">
        <v>200</v>
      </c>
      <c r="P110" s="9" t="s">
        <v>78</v>
      </c>
      <c r="Q110" s="9" t="s">
        <v>14</v>
      </c>
      <c r="R110" s="9" t="s">
        <v>88</v>
      </c>
      <c r="S110" s="9">
        <v>0</v>
      </c>
      <c r="T110" s="9" t="s">
        <v>14</v>
      </c>
      <c r="U110" s="9" t="s">
        <v>218</v>
      </c>
      <c r="V110" s="24" t="str">
        <f t="shared" si="13"/>
        <v>Structural</v>
      </c>
      <c r="W110" s="10" t="s">
        <v>82</v>
      </c>
      <c r="X110" s="10" t="s">
        <v>83</v>
      </c>
      <c r="Y110" s="10"/>
      <c r="Z110" s="10"/>
      <c r="AA110" s="10"/>
      <c r="AB110" s="22">
        <f>_xlfn.XLOOKUP(TIDP[[#This Row],[ACTIVITY ID]],Baseline[Activity Code],Baseline[Finish],"",0)</f>
        <v>46221</v>
      </c>
      <c r="AC110" s="10"/>
      <c r="AD110" s="10"/>
      <c r="AE110" s="10"/>
      <c r="AF110" s="10"/>
      <c r="AG110" s="10"/>
      <c r="AH110" s="11"/>
    </row>
    <row r="111" spans="1:34" x14ac:dyDescent="0.3">
      <c r="A111" s="43" t="str">
        <f t="shared" ref="A111:A124" si="15">CONCATENATE(TRIM(L111),"-",TRIM(M111),"-",TRIM(N111),"-",TRIM(O111),"-",TRIM(P111),"-",TRIM(Q111),"-",TRIM(R111),"-",TRIM(S111),TRIM(T111),TRIM(U111))</f>
        <v>QF01012-NES-C04518-SDW-FWR-00-BLAD01-2ZZ0074</v>
      </c>
      <c r="B111" s="69" t="s">
        <v>226</v>
      </c>
      <c r="C111" s="8"/>
      <c r="D111" s="8"/>
      <c r="E111" s="8" t="s">
        <v>69</v>
      </c>
      <c r="F111" s="9" t="s">
        <v>70</v>
      </c>
      <c r="G111" s="9" t="s">
        <v>141</v>
      </c>
      <c r="H111" s="71">
        <v>46258</v>
      </c>
      <c r="I111" s="25"/>
      <c r="J111" s="9" t="s">
        <v>72</v>
      </c>
      <c r="K111" s="9" t="s">
        <v>142</v>
      </c>
      <c r="L111" s="9" t="s">
        <v>74</v>
      </c>
      <c r="M111" s="9" t="s">
        <v>75</v>
      </c>
      <c r="N111" s="9" t="s">
        <v>76</v>
      </c>
      <c r="O111" s="9" t="s">
        <v>77</v>
      </c>
      <c r="P111" s="9" t="s">
        <v>78</v>
      </c>
      <c r="Q111" s="9" t="s">
        <v>14</v>
      </c>
      <c r="R111" s="9" t="s">
        <v>79</v>
      </c>
      <c r="S111" s="9" t="s">
        <v>184</v>
      </c>
      <c r="T111" s="9" t="s">
        <v>80</v>
      </c>
      <c r="U111" s="9" t="s">
        <v>227</v>
      </c>
      <c r="V111" s="24" t="str">
        <f t="shared" si="13"/>
        <v>Structural</v>
      </c>
      <c r="W111" s="10" t="s">
        <v>82</v>
      </c>
      <c r="X111" s="10" t="s">
        <v>83</v>
      </c>
      <c r="Y111" s="10"/>
      <c r="Z111" s="10"/>
      <c r="AA111" s="10"/>
      <c r="AB111" s="22">
        <f>_xlfn.XLOOKUP(TIDP[[#This Row],[ACTIVITY ID]],Baseline[Activity Code],Baseline[Finish],"",0)</f>
        <v>46221</v>
      </c>
      <c r="AC111" s="10"/>
      <c r="AD111" s="10"/>
      <c r="AE111" s="10"/>
      <c r="AF111" s="10"/>
      <c r="AG111" s="10"/>
      <c r="AH111" s="11"/>
    </row>
    <row r="112" spans="1:34" x14ac:dyDescent="0.3">
      <c r="A112" s="43" t="str">
        <f t="shared" si="15"/>
        <v>QF01012-NES-C04518-SDW-FWR-00-BLAD03-2ZZ0071</v>
      </c>
      <c r="B112" s="8" t="s">
        <v>228</v>
      </c>
      <c r="C112" s="8"/>
      <c r="D112" s="8"/>
      <c r="E112" s="8" t="s">
        <v>69</v>
      </c>
      <c r="F112" s="9" t="s">
        <v>70</v>
      </c>
      <c r="G112" s="9" t="s">
        <v>141</v>
      </c>
      <c r="H112" s="71">
        <v>46232</v>
      </c>
      <c r="I112" s="25"/>
      <c r="J112" s="9" t="s">
        <v>72</v>
      </c>
      <c r="K112" s="9" t="s">
        <v>142</v>
      </c>
      <c r="L112" s="9" t="s">
        <v>74</v>
      </c>
      <c r="M112" s="9" t="s">
        <v>75</v>
      </c>
      <c r="N112" s="9" t="s">
        <v>76</v>
      </c>
      <c r="O112" s="9" t="s">
        <v>77</v>
      </c>
      <c r="P112" s="9" t="s">
        <v>78</v>
      </c>
      <c r="Q112" s="9" t="s">
        <v>14</v>
      </c>
      <c r="R112" s="9" t="s">
        <v>173</v>
      </c>
      <c r="S112" s="9">
        <v>2</v>
      </c>
      <c r="T112" s="9" t="s">
        <v>80</v>
      </c>
      <c r="U112" s="9" t="s">
        <v>229</v>
      </c>
      <c r="V112" s="24" t="str">
        <f t="shared" si="13"/>
        <v>Structural</v>
      </c>
      <c r="W112" s="10" t="s">
        <v>82</v>
      </c>
      <c r="X112" s="10" t="s">
        <v>83</v>
      </c>
      <c r="Y112" s="10"/>
      <c r="Z112" s="10"/>
      <c r="AA112" s="10"/>
      <c r="AB112" s="22">
        <f>_xlfn.XLOOKUP(TIDP[[#This Row],[ACTIVITY ID]],Baseline[Activity Code],Baseline[Finish],"",0)</f>
        <v>46221</v>
      </c>
      <c r="AC112" s="10"/>
      <c r="AD112" s="10"/>
      <c r="AE112" s="10"/>
      <c r="AF112" s="10"/>
      <c r="AG112" s="10"/>
      <c r="AH112" s="11"/>
    </row>
    <row r="113" spans="1:34" x14ac:dyDescent="0.3">
      <c r="A113" s="43" t="str">
        <f t="shared" si="15"/>
        <v>QF01012-NES-C04518-SDW-FWR-00-BLAD03-2ZZ0072</v>
      </c>
      <c r="B113" s="8" t="s">
        <v>230</v>
      </c>
      <c r="C113" s="8"/>
      <c r="D113" s="8"/>
      <c r="E113" s="8" t="s">
        <v>69</v>
      </c>
      <c r="F113" s="9" t="s">
        <v>70</v>
      </c>
      <c r="G113" s="9" t="s">
        <v>141</v>
      </c>
      <c r="H113" s="71">
        <v>46232</v>
      </c>
      <c r="I113" s="25"/>
      <c r="J113" s="9" t="s">
        <v>72</v>
      </c>
      <c r="K113" s="9" t="s">
        <v>142</v>
      </c>
      <c r="L113" s="9" t="s">
        <v>74</v>
      </c>
      <c r="M113" s="9" t="s">
        <v>75</v>
      </c>
      <c r="N113" s="9" t="s">
        <v>76</v>
      </c>
      <c r="O113" s="9" t="s">
        <v>77</v>
      </c>
      <c r="P113" s="9" t="s">
        <v>78</v>
      </c>
      <c r="Q113" s="9" t="s">
        <v>14</v>
      </c>
      <c r="R113" s="9" t="s">
        <v>173</v>
      </c>
      <c r="S113" s="9">
        <v>2</v>
      </c>
      <c r="T113" s="9" t="s">
        <v>80</v>
      </c>
      <c r="U113" s="9" t="s">
        <v>231</v>
      </c>
      <c r="V113" s="24" t="str">
        <f t="shared" si="13"/>
        <v>Structural</v>
      </c>
      <c r="W113" s="10" t="s">
        <v>82</v>
      </c>
      <c r="X113" s="10" t="s">
        <v>83</v>
      </c>
      <c r="Y113" s="10"/>
      <c r="Z113" s="10"/>
      <c r="AA113" s="10"/>
      <c r="AB113" s="22">
        <f>_xlfn.XLOOKUP(TIDP[[#This Row],[ACTIVITY ID]],Baseline[Activity Code],Baseline[Finish],"",0)</f>
        <v>46221</v>
      </c>
      <c r="AC113" s="10"/>
      <c r="AD113" s="10"/>
      <c r="AE113" s="10"/>
      <c r="AF113" s="10"/>
      <c r="AG113" s="10"/>
      <c r="AH113" s="11"/>
    </row>
    <row r="114" spans="1:34" x14ac:dyDescent="0.3">
      <c r="A114" s="43" t="str">
        <f t="shared" si="15"/>
        <v>QF01012-NES-C04518-SDW-FWR-00-BLAD03-2ZZ0073</v>
      </c>
      <c r="B114" s="8" t="s">
        <v>232</v>
      </c>
      <c r="C114" s="8"/>
      <c r="D114" s="8"/>
      <c r="E114" s="8" t="s">
        <v>69</v>
      </c>
      <c r="F114" s="9" t="s">
        <v>70</v>
      </c>
      <c r="G114" s="9" t="s">
        <v>141</v>
      </c>
      <c r="H114" s="71">
        <v>46232</v>
      </c>
      <c r="I114" s="25"/>
      <c r="J114" s="9" t="s">
        <v>72</v>
      </c>
      <c r="K114" s="9" t="s">
        <v>142</v>
      </c>
      <c r="L114" s="9" t="s">
        <v>74</v>
      </c>
      <c r="M114" s="9" t="s">
        <v>75</v>
      </c>
      <c r="N114" s="9" t="s">
        <v>76</v>
      </c>
      <c r="O114" s="9" t="s">
        <v>77</v>
      </c>
      <c r="P114" s="9" t="s">
        <v>78</v>
      </c>
      <c r="Q114" s="9" t="s">
        <v>14</v>
      </c>
      <c r="R114" s="9" t="s">
        <v>173</v>
      </c>
      <c r="S114" s="9">
        <v>2</v>
      </c>
      <c r="T114" s="9" t="s">
        <v>80</v>
      </c>
      <c r="U114" s="9" t="s">
        <v>233</v>
      </c>
      <c r="V114" s="24" t="str">
        <f t="shared" si="13"/>
        <v>Structural</v>
      </c>
      <c r="W114" s="10" t="s">
        <v>82</v>
      </c>
      <c r="X114" s="10" t="s">
        <v>83</v>
      </c>
      <c r="Y114" s="10"/>
      <c r="Z114" s="10"/>
      <c r="AA114" s="10"/>
      <c r="AB114" s="22">
        <f>_xlfn.XLOOKUP(TIDP[[#This Row],[ACTIVITY ID]],Baseline[Activity Code],Baseline[Finish],"",0)</f>
        <v>46221</v>
      </c>
      <c r="AC114" s="10"/>
      <c r="AD114" s="10"/>
      <c r="AE114" s="10"/>
      <c r="AF114" s="10"/>
      <c r="AG114" s="10"/>
      <c r="AH114" s="11"/>
    </row>
    <row r="115" spans="1:34" x14ac:dyDescent="0.3">
      <c r="A115" s="43" t="str">
        <f t="shared" si="15"/>
        <v>QF01012-NES-C04518-SDW-FWR-00-BLAD04-2ZZ0069</v>
      </c>
      <c r="B115" s="8" t="s">
        <v>234</v>
      </c>
      <c r="C115" s="8"/>
      <c r="D115" s="8"/>
      <c r="E115" s="8" t="s">
        <v>69</v>
      </c>
      <c r="F115" s="9" t="s">
        <v>70</v>
      </c>
      <c r="G115" s="9" t="s">
        <v>141</v>
      </c>
      <c r="H115" s="71">
        <v>46232</v>
      </c>
      <c r="I115" s="25"/>
      <c r="J115" s="9" t="s">
        <v>72</v>
      </c>
      <c r="K115" s="9" t="s">
        <v>142</v>
      </c>
      <c r="L115" s="9" t="s">
        <v>74</v>
      </c>
      <c r="M115" s="9" t="s">
        <v>75</v>
      </c>
      <c r="N115" s="9" t="s">
        <v>76</v>
      </c>
      <c r="O115" s="9" t="s">
        <v>77</v>
      </c>
      <c r="P115" s="9" t="s">
        <v>78</v>
      </c>
      <c r="Q115" s="9" t="s">
        <v>14</v>
      </c>
      <c r="R115" s="9" t="s">
        <v>94</v>
      </c>
      <c r="S115" s="9">
        <v>2</v>
      </c>
      <c r="T115" s="9" t="s">
        <v>80</v>
      </c>
      <c r="U115" s="9" t="s">
        <v>235</v>
      </c>
      <c r="V115" s="24" t="str">
        <f t="shared" si="13"/>
        <v>Structural</v>
      </c>
      <c r="W115" s="10" t="s">
        <v>82</v>
      </c>
      <c r="X115" s="10" t="s">
        <v>83</v>
      </c>
      <c r="Y115" s="10"/>
      <c r="Z115" s="10"/>
      <c r="AA115" s="10"/>
      <c r="AB115" s="22">
        <f>_xlfn.XLOOKUP(TIDP[[#This Row],[ACTIVITY ID]],Baseline[Activity Code],Baseline[Finish],"",0)</f>
        <v>46221</v>
      </c>
      <c r="AC115" s="10"/>
      <c r="AD115" s="10"/>
      <c r="AE115" s="10"/>
      <c r="AF115" s="10"/>
      <c r="AG115" s="10"/>
      <c r="AH115" s="11"/>
    </row>
    <row r="116" spans="1:34" x14ac:dyDescent="0.3">
      <c r="A116" s="43" t="str">
        <f t="shared" si="15"/>
        <v>QF01012-NES-C04518-SDW-FWR-00-BLAD04-2ZZ0070</v>
      </c>
      <c r="B116" s="8" t="s">
        <v>236</v>
      </c>
      <c r="C116" s="8"/>
      <c r="D116" s="8"/>
      <c r="E116" s="8" t="s">
        <v>69</v>
      </c>
      <c r="F116" s="9" t="s">
        <v>70</v>
      </c>
      <c r="G116" s="9" t="s">
        <v>141</v>
      </c>
      <c r="H116" s="71">
        <v>46232</v>
      </c>
      <c r="I116" s="25"/>
      <c r="J116" s="9" t="s">
        <v>72</v>
      </c>
      <c r="K116" s="9" t="s">
        <v>142</v>
      </c>
      <c r="L116" s="9" t="s">
        <v>74</v>
      </c>
      <c r="M116" s="9" t="s">
        <v>75</v>
      </c>
      <c r="N116" s="9" t="s">
        <v>76</v>
      </c>
      <c r="O116" s="9" t="s">
        <v>77</v>
      </c>
      <c r="P116" s="9" t="s">
        <v>78</v>
      </c>
      <c r="Q116" s="9" t="s">
        <v>14</v>
      </c>
      <c r="R116" s="9" t="s">
        <v>94</v>
      </c>
      <c r="S116" s="9">
        <v>2</v>
      </c>
      <c r="T116" s="9" t="s">
        <v>80</v>
      </c>
      <c r="U116" s="9" t="s">
        <v>237</v>
      </c>
      <c r="V116" s="24" t="str">
        <f t="shared" si="13"/>
        <v>Structural</v>
      </c>
      <c r="W116" s="10" t="s">
        <v>82</v>
      </c>
      <c r="X116" s="10" t="s">
        <v>83</v>
      </c>
      <c r="Y116" s="10"/>
      <c r="Z116" s="10"/>
      <c r="AA116" s="10"/>
      <c r="AB116" s="22">
        <f>_xlfn.XLOOKUP(TIDP[[#This Row],[ACTIVITY ID]],Baseline[Activity Code],Baseline[Finish],"",0)</f>
        <v>46221</v>
      </c>
      <c r="AC116" s="10"/>
      <c r="AD116" s="10"/>
      <c r="AE116" s="10"/>
      <c r="AF116" s="10"/>
      <c r="AG116" s="10"/>
      <c r="AH116" s="11"/>
    </row>
    <row r="117" spans="1:34" x14ac:dyDescent="0.3">
      <c r="A117" s="43" t="str">
        <f t="shared" si="15"/>
        <v>QF01012-NES-C04518-SDW-FWR-00-Z00000-2B10061</v>
      </c>
      <c r="B117" s="8" t="s">
        <v>238</v>
      </c>
      <c r="C117" s="8"/>
      <c r="D117" s="8"/>
      <c r="E117" s="8" t="s">
        <v>69</v>
      </c>
      <c r="F117" s="9" t="s">
        <v>70</v>
      </c>
      <c r="G117" s="9" t="s">
        <v>141</v>
      </c>
      <c r="H117" s="71">
        <v>46263</v>
      </c>
      <c r="I117" s="25"/>
      <c r="J117" s="9" t="s">
        <v>72</v>
      </c>
      <c r="K117" s="9" t="s">
        <v>142</v>
      </c>
      <c r="L117" s="9" t="s">
        <v>74</v>
      </c>
      <c r="M117" s="9" t="s">
        <v>75</v>
      </c>
      <c r="N117" s="9" t="s">
        <v>76</v>
      </c>
      <c r="O117" s="9" t="s">
        <v>77</v>
      </c>
      <c r="P117" s="9" t="s">
        <v>78</v>
      </c>
      <c r="Q117" s="9" t="s">
        <v>14</v>
      </c>
      <c r="R117" s="9" t="s">
        <v>88</v>
      </c>
      <c r="S117" s="9">
        <v>2</v>
      </c>
      <c r="T117" s="9" t="s">
        <v>106</v>
      </c>
      <c r="U117" s="9" t="s">
        <v>239</v>
      </c>
      <c r="V117" s="24" t="str">
        <f t="shared" si="13"/>
        <v>Structural</v>
      </c>
      <c r="W117" s="10" t="s">
        <v>82</v>
      </c>
      <c r="X117" s="10" t="s">
        <v>83</v>
      </c>
      <c r="Y117" s="10"/>
      <c r="Z117" s="10"/>
      <c r="AA117" s="10"/>
      <c r="AB117" s="22">
        <f>_xlfn.XLOOKUP(TIDP[[#This Row],[ACTIVITY ID]],Baseline[Activity Code],Baseline[Finish],"",0)</f>
        <v>46221</v>
      </c>
      <c r="AC117" s="10"/>
      <c r="AD117" s="10"/>
      <c r="AE117" s="10"/>
      <c r="AF117" s="10"/>
      <c r="AG117" s="10"/>
      <c r="AH117" s="11"/>
    </row>
    <row r="118" spans="1:34" x14ac:dyDescent="0.3">
      <c r="A118" s="43" t="str">
        <f t="shared" si="15"/>
        <v>QF01012-NES-C04518-SDW-FWR-00-Z00000-2B10062</v>
      </c>
      <c r="B118" s="8" t="s">
        <v>240</v>
      </c>
      <c r="C118" s="8"/>
      <c r="D118" s="8"/>
      <c r="E118" s="8" t="s">
        <v>69</v>
      </c>
      <c r="F118" s="9" t="s">
        <v>70</v>
      </c>
      <c r="G118" s="9" t="s">
        <v>141</v>
      </c>
      <c r="H118" s="71">
        <v>46263</v>
      </c>
      <c r="I118" s="25"/>
      <c r="J118" s="9" t="s">
        <v>72</v>
      </c>
      <c r="K118" s="9" t="s">
        <v>142</v>
      </c>
      <c r="L118" s="9" t="s">
        <v>74</v>
      </c>
      <c r="M118" s="9" t="s">
        <v>75</v>
      </c>
      <c r="N118" s="9" t="s">
        <v>76</v>
      </c>
      <c r="O118" s="9" t="s">
        <v>77</v>
      </c>
      <c r="P118" s="9" t="s">
        <v>78</v>
      </c>
      <c r="Q118" s="9" t="s">
        <v>14</v>
      </c>
      <c r="R118" s="9" t="s">
        <v>88</v>
      </c>
      <c r="S118" s="9">
        <v>2</v>
      </c>
      <c r="T118" s="9" t="s">
        <v>106</v>
      </c>
      <c r="U118" s="9" t="s">
        <v>241</v>
      </c>
      <c r="V118" s="24" t="str">
        <f t="shared" si="13"/>
        <v>Structural</v>
      </c>
      <c r="W118" s="10" t="s">
        <v>82</v>
      </c>
      <c r="X118" s="10" t="s">
        <v>83</v>
      </c>
      <c r="Y118" s="10"/>
      <c r="Z118" s="10"/>
      <c r="AA118" s="10"/>
      <c r="AB118" s="22">
        <f>_xlfn.XLOOKUP(TIDP[[#This Row],[ACTIVITY ID]],Baseline[Activity Code],Baseline[Finish],"",0)</f>
        <v>46221</v>
      </c>
      <c r="AC118" s="10"/>
      <c r="AD118" s="10"/>
      <c r="AE118" s="10"/>
      <c r="AF118" s="10"/>
      <c r="AG118" s="10"/>
      <c r="AH118" s="11"/>
    </row>
    <row r="119" spans="1:34" x14ac:dyDescent="0.3">
      <c r="A119" s="43" t="str">
        <f t="shared" si="15"/>
        <v>QF01012-NES-C04518-SDW-FWR-00-Z00000-2B10063</v>
      </c>
      <c r="B119" s="8" t="s">
        <v>242</v>
      </c>
      <c r="C119" s="8"/>
      <c r="D119" s="8"/>
      <c r="E119" s="8" t="s">
        <v>69</v>
      </c>
      <c r="F119" s="9" t="s">
        <v>70</v>
      </c>
      <c r="G119" s="9" t="s">
        <v>141</v>
      </c>
      <c r="H119" s="71">
        <v>46263</v>
      </c>
      <c r="I119" s="25"/>
      <c r="J119" s="9" t="s">
        <v>72</v>
      </c>
      <c r="K119" s="9" t="s">
        <v>142</v>
      </c>
      <c r="L119" s="9" t="s">
        <v>74</v>
      </c>
      <c r="M119" s="9" t="s">
        <v>75</v>
      </c>
      <c r="N119" s="9" t="s">
        <v>76</v>
      </c>
      <c r="O119" s="9" t="s">
        <v>77</v>
      </c>
      <c r="P119" s="9" t="s">
        <v>78</v>
      </c>
      <c r="Q119" s="9" t="s">
        <v>14</v>
      </c>
      <c r="R119" s="9" t="s">
        <v>88</v>
      </c>
      <c r="S119" s="9">
        <v>2</v>
      </c>
      <c r="T119" s="9" t="s">
        <v>106</v>
      </c>
      <c r="U119" s="9" t="s">
        <v>243</v>
      </c>
      <c r="V119" s="24" t="str">
        <f t="shared" si="13"/>
        <v>Structural</v>
      </c>
      <c r="W119" s="10" t="s">
        <v>82</v>
      </c>
      <c r="X119" s="10" t="s">
        <v>83</v>
      </c>
      <c r="Y119" s="10"/>
      <c r="Z119" s="10"/>
      <c r="AA119" s="10"/>
      <c r="AB119" s="22">
        <f>_xlfn.XLOOKUP(TIDP[[#This Row],[ACTIVITY ID]],Baseline[Activity Code],Baseline[Finish],"",0)</f>
        <v>46221</v>
      </c>
      <c r="AC119" s="10"/>
      <c r="AD119" s="10"/>
      <c r="AE119" s="10"/>
      <c r="AF119" s="10"/>
      <c r="AG119" s="10"/>
      <c r="AH119" s="11"/>
    </row>
    <row r="120" spans="1:34" x14ac:dyDescent="0.3">
      <c r="A120" s="43" t="str">
        <f t="shared" si="15"/>
        <v>QF01012-NES-C04518-SDW-FWR-00-Z00000-2B10064</v>
      </c>
      <c r="B120" s="8" t="s">
        <v>244</v>
      </c>
      <c r="C120" s="8"/>
      <c r="D120" s="8"/>
      <c r="E120" s="8" t="s">
        <v>69</v>
      </c>
      <c r="F120" s="9" t="s">
        <v>70</v>
      </c>
      <c r="G120" s="9" t="s">
        <v>141</v>
      </c>
      <c r="H120" s="71">
        <v>46232</v>
      </c>
      <c r="I120" s="25"/>
      <c r="J120" s="9" t="s">
        <v>72</v>
      </c>
      <c r="K120" s="9" t="s">
        <v>142</v>
      </c>
      <c r="L120" s="9" t="s">
        <v>74</v>
      </c>
      <c r="M120" s="9" t="s">
        <v>75</v>
      </c>
      <c r="N120" s="9" t="s">
        <v>76</v>
      </c>
      <c r="O120" s="9" t="s">
        <v>77</v>
      </c>
      <c r="P120" s="9" t="s">
        <v>78</v>
      </c>
      <c r="Q120" s="9" t="s">
        <v>14</v>
      </c>
      <c r="R120" s="9" t="s">
        <v>88</v>
      </c>
      <c r="S120" s="9">
        <v>2</v>
      </c>
      <c r="T120" s="9" t="s">
        <v>106</v>
      </c>
      <c r="U120" s="9" t="s">
        <v>245</v>
      </c>
      <c r="V120" s="24" t="str">
        <f t="shared" si="13"/>
        <v>Structural</v>
      </c>
      <c r="W120" s="10" t="s">
        <v>82</v>
      </c>
      <c r="X120" s="10" t="s">
        <v>83</v>
      </c>
      <c r="Y120" s="10"/>
      <c r="Z120" s="10"/>
      <c r="AA120" s="10"/>
      <c r="AB120" s="22">
        <f>_xlfn.XLOOKUP(TIDP[[#This Row],[ACTIVITY ID]],Baseline[Activity Code],Baseline[Finish],"",0)</f>
        <v>46221</v>
      </c>
      <c r="AC120" s="10"/>
      <c r="AD120" s="10"/>
      <c r="AE120" s="10"/>
      <c r="AF120" s="10"/>
      <c r="AG120" s="10"/>
      <c r="AH120" s="11"/>
    </row>
    <row r="121" spans="1:34" x14ac:dyDescent="0.3">
      <c r="A121" s="43" t="str">
        <f t="shared" si="15"/>
        <v>QF01012-NES-C04518-SDW-FWR-00-Z00000-2B10065</v>
      </c>
      <c r="B121" s="8" t="s">
        <v>246</v>
      </c>
      <c r="C121" s="8"/>
      <c r="D121" s="8"/>
      <c r="E121" s="8" t="s">
        <v>69</v>
      </c>
      <c r="F121" s="9" t="s">
        <v>70</v>
      </c>
      <c r="G121" s="9" t="s">
        <v>141</v>
      </c>
      <c r="H121" s="71">
        <v>46232</v>
      </c>
      <c r="I121" s="25"/>
      <c r="J121" s="9" t="s">
        <v>72</v>
      </c>
      <c r="K121" s="9" t="s">
        <v>142</v>
      </c>
      <c r="L121" s="9" t="s">
        <v>74</v>
      </c>
      <c r="M121" s="9" t="s">
        <v>75</v>
      </c>
      <c r="N121" s="9" t="s">
        <v>76</v>
      </c>
      <c r="O121" s="9" t="s">
        <v>77</v>
      </c>
      <c r="P121" s="9" t="s">
        <v>78</v>
      </c>
      <c r="Q121" s="9" t="s">
        <v>14</v>
      </c>
      <c r="R121" s="9" t="s">
        <v>88</v>
      </c>
      <c r="S121" s="9">
        <v>2</v>
      </c>
      <c r="T121" s="9" t="s">
        <v>106</v>
      </c>
      <c r="U121" s="9" t="s">
        <v>247</v>
      </c>
      <c r="V121" s="24" t="str">
        <f t="shared" si="13"/>
        <v>Structural</v>
      </c>
      <c r="W121" s="10" t="s">
        <v>82</v>
      </c>
      <c r="X121" s="10" t="s">
        <v>83</v>
      </c>
      <c r="Y121" s="10"/>
      <c r="Z121" s="10"/>
      <c r="AA121" s="10"/>
      <c r="AB121" s="22">
        <f>_xlfn.XLOOKUP(TIDP[[#This Row],[ACTIVITY ID]],Baseline[Activity Code],Baseline[Finish],"",0)</f>
        <v>46221</v>
      </c>
      <c r="AC121" s="10"/>
      <c r="AD121" s="10"/>
      <c r="AE121" s="10"/>
      <c r="AF121" s="10"/>
      <c r="AG121" s="10"/>
      <c r="AH121" s="11"/>
    </row>
    <row r="122" spans="1:34" x14ac:dyDescent="0.3">
      <c r="A122" s="43" t="str">
        <f t="shared" si="15"/>
        <v>QF01012-NES-C04518-SDW-FWR-00-Z00000-2B10066</v>
      </c>
      <c r="B122" s="8" t="s">
        <v>248</v>
      </c>
      <c r="C122" s="8"/>
      <c r="D122" s="8"/>
      <c r="E122" s="8" t="s">
        <v>69</v>
      </c>
      <c r="F122" s="9" t="s">
        <v>70</v>
      </c>
      <c r="G122" s="9" t="s">
        <v>141</v>
      </c>
      <c r="H122" s="71">
        <v>46232</v>
      </c>
      <c r="I122" s="25"/>
      <c r="J122" s="9" t="s">
        <v>72</v>
      </c>
      <c r="K122" s="9" t="s">
        <v>142</v>
      </c>
      <c r="L122" s="9" t="s">
        <v>74</v>
      </c>
      <c r="M122" s="9" t="s">
        <v>75</v>
      </c>
      <c r="N122" s="9" t="s">
        <v>76</v>
      </c>
      <c r="O122" s="9" t="s">
        <v>77</v>
      </c>
      <c r="P122" s="9" t="s">
        <v>78</v>
      </c>
      <c r="Q122" s="9" t="s">
        <v>14</v>
      </c>
      <c r="R122" s="9" t="s">
        <v>88</v>
      </c>
      <c r="S122" s="9">
        <v>2</v>
      </c>
      <c r="T122" s="9" t="s">
        <v>106</v>
      </c>
      <c r="U122" s="9" t="s">
        <v>249</v>
      </c>
      <c r="V122" s="24" t="str">
        <f t="shared" si="13"/>
        <v>Structural</v>
      </c>
      <c r="W122" s="10" t="s">
        <v>82</v>
      </c>
      <c r="X122" s="10" t="s">
        <v>83</v>
      </c>
      <c r="Y122" s="10"/>
      <c r="Z122" s="10"/>
      <c r="AA122" s="10"/>
      <c r="AB122" s="22">
        <f>_xlfn.XLOOKUP(TIDP[[#This Row],[ACTIVITY ID]],Baseline[Activity Code],Baseline[Finish],"",0)</f>
        <v>46221</v>
      </c>
      <c r="AC122" s="10"/>
      <c r="AD122" s="10"/>
      <c r="AE122" s="10"/>
      <c r="AF122" s="10"/>
      <c r="AG122" s="10"/>
      <c r="AH122" s="11"/>
    </row>
    <row r="123" spans="1:34" x14ac:dyDescent="0.3">
      <c r="A123" s="43" t="str">
        <f t="shared" si="15"/>
        <v>QF01012-NES-C04518-SDW-FWR-00-Z00000-2ZZ0062</v>
      </c>
      <c r="B123" s="8" t="s">
        <v>250</v>
      </c>
      <c r="C123" s="8"/>
      <c r="D123" s="8"/>
      <c r="E123" s="8" t="s">
        <v>69</v>
      </c>
      <c r="F123" s="9" t="s">
        <v>70</v>
      </c>
      <c r="G123" s="9" t="s">
        <v>141</v>
      </c>
      <c r="H123" s="71">
        <v>46219</v>
      </c>
      <c r="I123" s="25"/>
      <c r="J123" s="9" t="s">
        <v>72</v>
      </c>
      <c r="K123" s="9" t="s">
        <v>142</v>
      </c>
      <c r="L123" s="9" t="s">
        <v>74</v>
      </c>
      <c r="M123" s="9" t="s">
        <v>75</v>
      </c>
      <c r="N123" s="9" t="s">
        <v>76</v>
      </c>
      <c r="O123" s="9" t="s">
        <v>77</v>
      </c>
      <c r="P123" s="9" t="s">
        <v>78</v>
      </c>
      <c r="Q123" s="9" t="s">
        <v>14</v>
      </c>
      <c r="R123" s="9" t="s">
        <v>88</v>
      </c>
      <c r="S123" s="9">
        <v>2</v>
      </c>
      <c r="T123" s="9" t="s">
        <v>80</v>
      </c>
      <c r="U123" s="9" t="s">
        <v>241</v>
      </c>
      <c r="V123" s="24" t="str">
        <f t="shared" si="13"/>
        <v>Structural</v>
      </c>
      <c r="W123" s="10" t="s">
        <v>82</v>
      </c>
      <c r="X123" s="10" t="s">
        <v>83</v>
      </c>
      <c r="Y123" s="10"/>
      <c r="Z123" s="10"/>
      <c r="AA123" s="10"/>
      <c r="AB123" s="22">
        <f>_xlfn.XLOOKUP(TIDP[[#This Row],[ACTIVITY ID]],Baseline[Activity Code],Baseline[Finish],"",0)</f>
        <v>46221</v>
      </c>
      <c r="AC123" s="10"/>
      <c r="AD123" s="10"/>
      <c r="AE123" s="10"/>
      <c r="AF123" s="10"/>
      <c r="AG123" s="10"/>
      <c r="AH123" s="11"/>
    </row>
    <row r="124" spans="1:34" x14ac:dyDescent="0.3">
      <c r="A124" s="43" t="str">
        <f t="shared" si="15"/>
        <v>-------</v>
      </c>
      <c r="B124" s="62"/>
      <c r="C124" s="8"/>
      <c r="D124" s="8"/>
      <c r="E124" s="8"/>
      <c r="F124" s="9"/>
      <c r="G124" s="9"/>
      <c r="H124" s="25"/>
      <c r="I124" s="2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24" t="str">
        <f t="shared" si="13"/>
        <v>Structural</v>
      </c>
      <c r="W124" s="10"/>
      <c r="X124" s="10"/>
      <c r="Y124" s="10"/>
      <c r="Z124" s="10"/>
      <c r="AA124" s="10"/>
      <c r="AB124" s="22" t="str">
        <f>_xlfn.XLOOKUP(TIDP[[#This Row],[ACTIVITY ID]],Baseline[Activity Code],Baseline[Finish],"",0)</f>
        <v/>
      </c>
      <c r="AC124" s="10"/>
      <c r="AD124" s="10"/>
      <c r="AE124" s="10"/>
      <c r="AF124" s="10"/>
      <c r="AG124" s="10"/>
      <c r="AH124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24">
    <cfRule type="duplicateValues" dxfId="2" priority="55"/>
  </conditionalFormatting>
  <conditionalFormatting sqref="C3:E3">
    <cfRule type="duplicateValues" dxfId="1" priority="1"/>
  </conditionalFormatting>
  <dataValidations count="1">
    <dataValidation type="list" allowBlank="1" showInputMessage="1" showErrorMessage="1" sqref="AD17:AE124 X17:Y124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AC17:AC124 W17:W124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D17:D124</xm:sqref>
        </x14:dataValidation>
        <x14:dataValidation type="list" allowBlank="1" showInputMessage="1" showErrorMessage="1" xr:uid="{6E0815E1-E9CC-4DE8-86C4-07FBCE76356A}">
          <x14:formula1>
            <xm:f>Baseline!$J$3:$J$667</xm:f>
          </x14:formula1>
          <xm:sqref>J17:J124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4.4" outlineLevelCol="1" x14ac:dyDescent="0.3"/>
  <cols>
    <col min="1" max="1" width="9.33203125" collapsed="1"/>
    <col min="2" max="6" width="14" hidden="1" customWidth="1" outlineLevel="1"/>
    <col min="7" max="7" width="102.44140625" customWidth="1"/>
    <col min="8" max="8" width="18.44140625" customWidth="1"/>
    <col min="9" max="9" width="12.33203125" bestFit="1" customWidth="1"/>
    <col min="10" max="10" width="15.6640625" customWidth="1"/>
    <col min="11" max="14" width="14.6640625" customWidth="1"/>
    <col min="15" max="15" width="14" customWidth="1"/>
    <col min="16" max="16" width="12.3320312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44140625" bestFit="1" customWidth="1"/>
    <col min="26" max="26" width="90.5546875" bestFit="1" customWidth="1"/>
    <col min="27" max="27" width="11.44140625" customWidth="1"/>
    <col min="28" max="28" width="13" customWidth="1"/>
    <col min="29" max="29" width="12.44140625" customWidth="1"/>
    <col min="30" max="30" width="81.33203125" bestFit="1" customWidth="1"/>
    <col min="31" max="31" width="17.33203125" bestFit="1" customWidth="1"/>
  </cols>
  <sheetData>
    <row r="2" spans="2:14" x14ac:dyDescent="0.3">
      <c r="B2" s="48" t="s">
        <v>251</v>
      </c>
      <c r="C2" s="49" t="s">
        <v>184</v>
      </c>
      <c r="D2" s="49" t="s">
        <v>252</v>
      </c>
      <c r="E2" s="49" t="s">
        <v>253</v>
      </c>
      <c r="F2" s="49" t="s">
        <v>254</v>
      </c>
      <c r="G2" t="s">
        <v>255</v>
      </c>
      <c r="H2" t="s">
        <v>256</v>
      </c>
      <c r="I2" s="20" t="s">
        <v>257</v>
      </c>
      <c r="J2" s="20" t="s">
        <v>258</v>
      </c>
      <c r="K2" s="20" t="s">
        <v>259</v>
      </c>
      <c r="L2" s="20" t="s">
        <v>260</v>
      </c>
      <c r="M2" s="20" t="s">
        <v>261</v>
      </c>
      <c r="N2" s="21" t="s">
        <v>262</v>
      </c>
    </row>
    <row r="3" spans="2:14" hidden="1" x14ac:dyDescent="0.3">
      <c r="B3" s="56" t="s">
        <v>263</v>
      </c>
      <c r="C3" s="57" t="s">
        <v>264</v>
      </c>
      <c r="D3" s="57" t="s">
        <v>264</v>
      </c>
      <c r="E3" s="57" t="s">
        <v>264</v>
      </c>
      <c r="F3" s="57" t="s">
        <v>264</v>
      </c>
      <c r="G3" t="s">
        <v>264</v>
      </c>
      <c r="H3" t="s">
        <v>264</v>
      </c>
      <c r="I3" s="57" t="s">
        <v>265</v>
      </c>
      <c r="J3" s="57" t="s">
        <v>266</v>
      </c>
      <c r="K3" s="57" t="s">
        <v>267</v>
      </c>
      <c r="L3" s="58" t="s">
        <v>268</v>
      </c>
      <c r="M3" s="59">
        <v>45948</v>
      </c>
      <c r="N3" s="60">
        <v>45960</v>
      </c>
    </row>
    <row r="4" spans="2:14" hidden="1" x14ac:dyDescent="0.3">
      <c r="B4" s="56" t="s">
        <v>263</v>
      </c>
      <c r="C4" s="57" t="s">
        <v>264</v>
      </c>
      <c r="D4" s="57" t="s">
        <v>269</v>
      </c>
      <c r="E4" s="57" t="s">
        <v>269</v>
      </c>
      <c r="F4" s="57" t="s">
        <v>269</v>
      </c>
      <c r="G4" t="s">
        <v>269</v>
      </c>
      <c r="H4" t="s">
        <v>269</v>
      </c>
      <c r="I4" s="57" t="s">
        <v>270</v>
      </c>
      <c r="J4" s="57" t="s">
        <v>271</v>
      </c>
      <c r="K4" s="57" t="s">
        <v>267</v>
      </c>
      <c r="L4" s="58" t="s">
        <v>268</v>
      </c>
      <c r="M4" s="59">
        <v>45948</v>
      </c>
      <c r="N4" s="60">
        <v>45960</v>
      </c>
    </row>
    <row r="5" spans="2:14" hidden="1" x14ac:dyDescent="0.3">
      <c r="B5" s="56" t="s">
        <v>263</v>
      </c>
      <c r="C5" s="57" t="s">
        <v>264</v>
      </c>
      <c r="D5" s="57" t="s">
        <v>272</v>
      </c>
      <c r="E5" s="57" t="s">
        <v>273</v>
      </c>
      <c r="F5" s="57" t="s">
        <v>273</v>
      </c>
      <c r="G5" t="s">
        <v>273</v>
      </c>
      <c r="H5" t="s">
        <v>273</v>
      </c>
      <c r="I5" s="57" t="s">
        <v>274</v>
      </c>
      <c r="J5" s="57" t="s">
        <v>275</v>
      </c>
      <c r="K5" s="57" t="s">
        <v>267</v>
      </c>
      <c r="L5" s="58" t="s">
        <v>268</v>
      </c>
      <c r="M5" s="59">
        <v>46030</v>
      </c>
      <c r="N5" s="60">
        <v>46043</v>
      </c>
    </row>
    <row r="6" spans="2:14" hidden="1" x14ac:dyDescent="0.3">
      <c r="B6" s="56" t="s">
        <v>263</v>
      </c>
      <c r="C6" s="57" t="s">
        <v>264</v>
      </c>
      <c r="D6" s="57" t="s">
        <v>272</v>
      </c>
      <c r="E6" s="57" t="s">
        <v>276</v>
      </c>
      <c r="F6" s="57" t="s">
        <v>276</v>
      </c>
      <c r="G6" t="s">
        <v>276</v>
      </c>
      <c r="H6" t="s">
        <v>276</v>
      </c>
      <c r="I6" s="57" t="s">
        <v>277</v>
      </c>
      <c r="J6" s="57" t="s">
        <v>278</v>
      </c>
      <c r="K6" s="57" t="s">
        <v>267</v>
      </c>
      <c r="L6" s="58" t="s">
        <v>268</v>
      </c>
      <c r="M6" s="59">
        <v>46193</v>
      </c>
      <c r="N6" s="60">
        <v>46205</v>
      </c>
    </row>
    <row r="7" spans="2:14" hidden="1" x14ac:dyDescent="0.3">
      <c r="B7" s="56" t="s">
        <v>263</v>
      </c>
      <c r="C7" s="57" t="s">
        <v>264</v>
      </c>
      <c r="D7" s="57" t="s">
        <v>272</v>
      </c>
      <c r="E7" s="57" t="s">
        <v>279</v>
      </c>
      <c r="F7" s="57" t="s">
        <v>279</v>
      </c>
      <c r="G7" t="s">
        <v>279</v>
      </c>
      <c r="H7" t="s">
        <v>279</v>
      </c>
      <c r="I7" s="57" t="s">
        <v>280</v>
      </c>
      <c r="J7" s="57" t="s">
        <v>281</v>
      </c>
      <c r="K7" s="57" t="s">
        <v>267</v>
      </c>
      <c r="L7" s="58" t="s">
        <v>268</v>
      </c>
      <c r="M7" s="59">
        <v>46225</v>
      </c>
      <c r="N7" s="60">
        <v>46238</v>
      </c>
    </row>
    <row r="8" spans="2:14" hidden="1" x14ac:dyDescent="0.3">
      <c r="B8" s="56" t="s">
        <v>263</v>
      </c>
      <c r="C8" s="57" t="s">
        <v>282</v>
      </c>
      <c r="D8" s="57" t="s">
        <v>283</v>
      </c>
      <c r="E8" s="57" t="s">
        <v>283</v>
      </c>
      <c r="F8" s="57" t="s">
        <v>283</v>
      </c>
      <c r="G8" t="s">
        <v>283</v>
      </c>
      <c r="H8" t="s">
        <v>284</v>
      </c>
      <c r="I8" s="57" t="s">
        <v>285</v>
      </c>
      <c r="J8" s="57" t="s">
        <v>286</v>
      </c>
      <c r="K8" s="57" t="s">
        <v>267</v>
      </c>
      <c r="L8" s="58" t="s">
        <v>256</v>
      </c>
      <c r="M8" s="59">
        <v>45965</v>
      </c>
      <c r="N8" s="60">
        <v>45972</v>
      </c>
    </row>
    <row r="9" spans="2:14" hidden="1" x14ac:dyDescent="0.3">
      <c r="B9" s="56" t="s">
        <v>263</v>
      </c>
      <c r="C9" s="57" t="s">
        <v>282</v>
      </c>
      <c r="D9" s="57" t="s">
        <v>283</v>
      </c>
      <c r="E9" s="57" t="s">
        <v>283</v>
      </c>
      <c r="F9" s="57" t="s">
        <v>283</v>
      </c>
      <c r="G9" t="s">
        <v>283</v>
      </c>
      <c r="H9" t="s">
        <v>287</v>
      </c>
      <c r="I9" s="57" t="s">
        <v>285</v>
      </c>
      <c r="J9" s="57" t="s">
        <v>288</v>
      </c>
      <c r="K9" s="57" t="s">
        <v>267</v>
      </c>
      <c r="L9" s="58" t="s">
        <v>289</v>
      </c>
      <c r="M9" s="59">
        <v>45973</v>
      </c>
      <c r="N9" s="60">
        <v>45988</v>
      </c>
    </row>
    <row r="10" spans="2:14" hidden="1" x14ac:dyDescent="0.3">
      <c r="B10" s="56" t="s">
        <v>263</v>
      </c>
      <c r="C10" s="57" t="s">
        <v>282</v>
      </c>
      <c r="D10" s="57" t="s">
        <v>290</v>
      </c>
      <c r="E10" s="57" t="s">
        <v>291</v>
      </c>
      <c r="F10" s="57" t="s">
        <v>291</v>
      </c>
      <c r="G10" t="s">
        <v>291</v>
      </c>
      <c r="H10" t="s">
        <v>291</v>
      </c>
      <c r="I10" s="57" t="s">
        <v>292</v>
      </c>
      <c r="J10" s="57" t="s">
        <v>293</v>
      </c>
      <c r="K10" s="57" t="s">
        <v>267</v>
      </c>
      <c r="L10" s="58" t="s">
        <v>294</v>
      </c>
      <c r="M10" s="59">
        <v>45998</v>
      </c>
      <c r="N10" s="60">
        <v>46026</v>
      </c>
    </row>
    <row r="11" spans="2:14" hidden="1" x14ac:dyDescent="0.3">
      <c r="B11" s="56" t="s">
        <v>263</v>
      </c>
      <c r="C11" s="57" t="s">
        <v>282</v>
      </c>
      <c r="D11" s="57" t="s">
        <v>290</v>
      </c>
      <c r="E11" s="57" t="s">
        <v>295</v>
      </c>
      <c r="F11" s="57" t="s">
        <v>295</v>
      </c>
      <c r="G11" t="s">
        <v>295</v>
      </c>
      <c r="H11" t="s">
        <v>295</v>
      </c>
      <c r="I11" s="57" t="s">
        <v>296</v>
      </c>
      <c r="J11" s="57" t="s">
        <v>297</v>
      </c>
      <c r="K11" s="57" t="s">
        <v>267</v>
      </c>
      <c r="L11" s="58" t="s">
        <v>294</v>
      </c>
      <c r="M11" s="59">
        <v>46005</v>
      </c>
      <c r="N11" s="60">
        <v>46033</v>
      </c>
    </row>
    <row r="12" spans="2:14" hidden="1" x14ac:dyDescent="0.3">
      <c r="B12" s="56" t="s">
        <v>263</v>
      </c>
      <c r="C12" s="57" t="s">
        <v>282</v>
      </c>
      <c r="D12" s="57" t="s">
        <v>290</v>
      </c>
      <c r="E12" s="57" t="s">
        <v>298</v>
      </c>
      <c r="F12" s="57" t="s">
        <v>298</v>
      </c>
      <c r="G12" t="s">
        <v>298</v>
      </c>
      <c r="H12" t="s">
        <v>298</v>
      </c>
      <c r="I12" s="57" t="s">
        <v>299</v>
      </c>
      <c r="J12" s="57" t="s">
        <v>300</v>
      </c>
      <c r="K12" s="57" t="s">
        <v>267</v>
      </c>
      <c r="L12" s="58" t="s">
        <v>294</v>
      </c>
      <c r="M12" s="59">
        <v>45991</v>
      </c>
      <c r="N12" s="60">
        <v>46019</v>
      </c>
    </row>
    <row r="13" spans="2:14" hidden="1" x14ac:dyDescent="0.3">
      <c r="B13" s="56" t="s">
        <v>263</v>
      </c>
      <c r="C13" s="57" t="s">
        <v>282</v>
      </c>
      <c r="D13" s="57" t="s">
        <v>290</v>
      </c>
      <c r="E13" s="57" t="s">
        <v>301</v>
      </c>
      <c r="F13" s="57" t="s">
        <v>301</v>
      </c>
      <c r="G13" t="s">
        <v>301</v>
      </c>
      <c r="H13" t="s">
        <v>301</v>
      </c>
      <c r="I13" s="57" t="s">
        <v>302</v>
      </c>
      <c r="J13" s="57" t="s">
        <v>303</v>
      </c>
      <c r="K13" s="57" t="s">
        <v>267</v>
      </c>
      <c r="L13" s="58" t="s">
        <v>294</v>
      </c>
      <c r="M13" s="59">
        <v>45984</v>
      </c>
      <c r="N13" s="60">
        <v>46012</v>
      </c>
    </row>
    <row r="14" spans="2:14" hidden="1" x14ac:dyDescent="0.3">
      <c r="B14" s="56" t="s">
        <v>263</v>
      </c>
      <c r="C14" s="57" t="s">
        <v>282</v>
      </c>
      <c r="D14" s="57" t="s">
        <v>290</v>
      </c>
      <c r="E14" s="57" t="s">
        <v>304</v>
      </c>
      <c r="F14" s="57" t="s">
        <v>304</v>
      </c>
      <c r="G14" t="s">
        <v>304</v>
      </c>
      <c r="H14" t="s">
        <v>304</v>
      </c>
      <c r="I14" s="57" t="s">
        <v>305</v>
      </c>
      <c r="J14" s="57" t="s">
        <v>306</v>
      </c>
      <c r="K14" s="57" t="s">
        <v>267</v>
      </c>
      <c r="L14" s="58" t="s">
        <v>307</v>
      </c>
      <c r="M14" s="59">
        <v>45973</v>
      </c>
      <c r="N14" s="60">
        <v>46005</v>
      </c>
    </row>
    <row r="15" spans="2:14" hidden="1" x14ac:dyDescent="0.3">
      <c r="B15" s="56" t="s">
        <v>263</v>
      </c>
      <c r="C15" s="57" t="s">
        <v>282</v>
      </c>
      <c r="D15" s="57" t="s">
        <v>308</v>
      </c>
      <c r="E15" s="57" t="s">
        <v>308</v>
      </c>
      <c r="F15" s="57" t="s">
        <v>308</v>
      </c>
      <c r="G15" t="s">
        <v>308</v>
      </c>
      <c r="H15" t="s">
        <v>308</v>
      </c>
      <c r="I15" s="57" t="s">
        <v>309</v>
      </c>
      <c r="J15" s="57" t="s">
        <v>310</v>
      </c>
      <c r="K15" s="57" t="s">
        <v>267</v>
      </c>
      <c r="L15" s="58" t="s">
        <v>311</v>
      </c>
      <c r="M15" s="59">
        <v>46450</v>
      </c>
      <c r="N15" s="60">
        <v>46476</v>
      </c>
    </row>
    <row r="16" spans="2:14" hidden="1" x14ac:dyDescent="0.3">
      <c r="B16" s="56" t="s">
        <v>263</v>
      </c>
      <c r="C16" s="57" t="s">
        <v>312</v>
      </c>
      <c r="D16" s="57" t="s">
        <v>313</v>
      </c>
      <c r="E16" s="57" t="s">
        <v>314</v>
      </c>
      <c r="F16" s="57" t="s">
        <v>314</v>
      </c>
      <c r="G16" t="s">
        <v>314</v>
      </c>
      <c r="H16" t="s">
        <v>314</v>
      </c>
      <c r="I16" s="57" t="s">
        <v>315</v>
      </c>
      <c r="J16" s="57" t="s">
        <v>316</v>
      </c>
      <c r="K16" s="57" t="s">
        <v>267</v>
      </c>
      <c r="L16" s="58" t="s">
        <v>307</v>
      </c>
      <c r="M16" s="59">
        <v>45979</v>
      </c>
      <c r="N16" s="60">
        <v>46011</v>
      </c>
    </row>
    <row r="17" spans="2:14" hidden="1" x14ac:dyDescent="0.3">
      <c r="B17" s="56" t="s">
        <v>263</v>
      </c>
      <c r="C17" s="57" t="s">
        <v>312</v>
      </c>
      <c r="D17" s="57" t="s">
        <v>313</v>
      </c>
      <c r="E17" s="57" t="s">
        <v>317</v>
      </c>
      <c r="F17" s="57" t="s">
        <v>317</v>
      </c>
      <c r="G17" t="s">
        <v>317</v>
      </c>
      <c r="H17" t="s">
        <v>317</v>
      </c>
      <c r="I17" s="57" t="s">
        <v>318</v>
      </c>
      <c r="J17" s="57" t="s">
        <v>319</v>
      </c>
      <c r="K17" s="57" t="s">
        <v>267</v>
      </c>
      <c r="L17" s="58" t="s">
        <v>307</v>
      </c>
      <c r="M17" s="59">
        <v>46012</v>
      </c>
      <c r="N17" s="60">
        <v>46043</v>
      </c>
    </row>
    <row r="18" spans="2:14" hidden="1" x14ac:dyDescent="0.3">
      <c r="B18" s="56" t="s">
        <v>263</v>
      </c>
      <c r="C18" s="57" t="s">
        <v>312</v>
      </c>
      <c r="D18" s="57" t="s">
        <v>313</v>
      </c>
      <c r="E18" s="57" t="s">
        <v>320</v>
      </c>
      <c r="F18" s="57" t="s">
        <v>320</v>
      </c>
      <c r="G18" t="s">
        <v>320</v>
      </c>
      <c r="H18" t="s">
        <v>320</v>
      </c>
      <c r="I18" s="57" t="s">
        <v>321</v>
      </c>
      <c r="J18" s="57" t="s">
        <v>322</v>
      </c>
      <c r="K18" s="57" t="s">
        <v>267</v>
      </c>
      <c r="L18" s="58" t="s">
        <v>289</v>
      </c>
      <c r="M18" s="59">
        <v>46028</v>
      </c>
      <c r="N18" s="60">
        <v>46043</v>
      </c>
    </row>
    <row r="19" spans="2:14" hidden="1" x14ac:dyDescent="0.3">
      <c r="B19" s="56" t="s">
        <v>263</v>
      </c>
      <c r="C19" s="57" t="s">
        <v>312</v>
      </c>
      <c r="D19" s="57" t="s">
        <v>313</v>
      </c>
      <c r="E19" s="57" t="s">
        <v>323</v>
      </c>
      <c r="F19" s="57" t="s">
        <v>323</v>
      </c>
      <c r="G19" t="s">
        <v>323</v>
      </c>
      <c r="H19" t="s">
        <v>323</v>
      </c>
      <c r="I19" s="57" t="s">
        <v>324</v>
      </c>
      <c r="J19" s="57" t="s">
        <v>325</v>
      </c>
      <c r="K19" s="57" t="s">
        <v>267</v>
      </c>
      <c r="L19" s="58" t="s">
        <v>289</v>
      </c>
      <c r="M19" s="59">
        <v>46012</v>
      </c>
      <c r="N19" s="60">
        <v>46027</v>
      </c>
    </row>
    <row r="20" spans="2:14" hidden="1" x14ac:dyDescent="0.3">
      <c r="B20" s="56" t="s">
        <v>263</v>
      </c>
      <c r="C20" s="57" t="s">
        <v>312</v>
      </c>
      <c r="D20" s="57" t="s">
        <v>313</v>
      </c>
      <c r="E20" s="57" t="s">
        <v>326</v>
      </c>
      <c r="F20" s="57" t="s">
        <v>326</v>
      </c>
      <c r="G20" t="s">
        <v>326</v>
      </c>
      <c r="H20" t="s">
        <v>326</v>
      </c>
      <c r="I20" s="57" t="s">
        <v>327</v>
      </c>
      <c r="J20" s="57" t="s">
        <v>328</v>
      </c>
      <c r="K20" s="57" t="s">
        <v>267</v>
      </c>
      <c r="L20" s="58" t="s">
        <v>307</v>
      </c>
      <c r="M20" s="59">
        <v>46012</v>
      </c>
      <c r="N20" s="60">
        <v>46043</v>
      </c>
    </row>
    <row r="21" spans="2:14" hidden="1" x14ac:dyDescent="0.3">
      <c r="B21" s="56" t="s">
        <v>263</v>
      </c>
      <c r="C21" s="57" t="s">
        <v>312</v>
      </c>
      <c r="D21" s="57" t="s">
        <v>313</v>
      </c>
      <c r="E21" s="57" t="s">
        <v>329</v>
      </c>
      <c r="F21" s="57" t="s">
        <v>329</v>
      </c>
      <c r="G21" t="s">
        <v>329</v>
      </c>
      <c r="H21" t="s">
        <v>329</v>
      </c>
      <c r="I21" s="57" t="s">
        <v>330</v>
      </c>
      <c r="J21" s="57" t="s">
        <v>331</v>
      </c>
      <c r="K21" s="57" t="s">
        <v>267</v>
      </c>
      <c r="L21" s="58" t="s">
        <v>307</v>
      </c>
      <c r="M21" s="59">
        <v>46044</v>
      </c>
      <c r="N21" s="60">
        <v>46077</v>
      </c>
    </row>
    <row r="22" spans="2:14" hidden="1" x14ac:dyDescent="0.3">
      <c r="B22" s="56" t="s">
        <v>263</v>
      </c>
      <c r="C22" s="57" t="s">
        <v>312</v>
      </c>
      <c r="D22" s="57" t="s">
        <v>313</v>
      </c>
      <c r="E22" s="57" t="s">
        <v>332</v>
      </c>
      <c r="F22" s="57" t="s">
        <v>332</v>
      </c>
      <c r="G22" t="s">
        <v>332</v>
      </c>
      <c r="H22" t="s">
        <v>332</v>
      </c>
      <c r="I22" s="57" t="s">
        <v>333</v>
      </c>
      <c r="J22" s="57" t="s">
        <v>334</v>
      </c>
      <c r="K22" s="57" t="s">
        <v>267</v>
      </c>
      <c r="L22" s="58" t="s">
        <v>294</v>
      </c>
      <c r="M22" s="59">
        <v>46078</v>
      </c>
      <c r="N22" s="60">
        <v>46109</v>
      </c>
    </row>
    <row r="23" spans="2:14" hidden="1" x14ac:dyDescent="0.3">
      <c r="B23" s="56" t="s">
        <v>263</v>
      </c>
      <c r="C23" s="57" t="s">
        <v>312</v>
      </c>
      <c r="D23" s="57" t="s">
        <v>313</v>
      </c>
      <c r="E23" s="57" t="s">
        <v>335</v>
      </c>
      <c r="F23" s="57" t="s">
        <v>335</v>
      </c>
      <c r="G23" t="s">
        <v>335</v>
      </c>
      <c r="H23" t="s">
        <v>335</v>
      </c>
      <c r="I23" s="57" t="s">
        <v>336</v>
      </c>
      <c r="J23" s="57" t="s">
        <v>337</v>
      </c>
      <c r="K23" s="57" t="s">
        <v>267</v>
      </c>
      <c r="L23" s="58" t="s">
        <v>338</v>
      </c>
      <c r="M23" s="59">
        <v>46110</v>
      </c>
      <c r="N23" s="60">
        <v>46126</v>
      </c>
    </row>
    <row r="24" spans="2:14" hidden="1" x14ac:dyDescent="0.3">
      <c r="B24" s="56" t="s">
        <v>263</v>
      </c>
      <c r="C24" s="57" t="s">
        <v>312</v>
      </c>
      <c r="D24" s="57" t="s">
        <v>313</v>
      </c>
      <c r="E24" s="57" t="s">
        <v>339</v>
      </c>
      <c r="F24" s="57" t="s">
        <v>339</v>
      </c>
      <c r="G24" t="s">
        <v>339</v>
      </c>
      <c r="H24" t="s">
        <v>340</v>
      </c>
      <c r="I24" s="57" t="s">
        <v>341</v>
      </c>
      <c r="J24" s="57" t="s">
        <v>342</v>
      </c>
      <c r="K24" s="57" t="s">
        <v>267</v>
      </c>
      <c r="L24" s="58" t="s">
        <v>294</v>
      </c>
      <c r="M24" s="59">
        <v>46127</v>
      </c>
      <c r="N24" s="60">
        <v>46155</v>
      </c>
    </row>
    <row r="25" spans="2:14" hidden="1" x14ac:dyDescent="0.3">
      <c r="B25" s="56" t="s">
        <v>263</v>
      </c>
      <c r="C25" s="57" t="s">
        <v>312</v>
      </c>
      <c r="D25" s="57" t="s">
        <v>313</v>
      </c>
      <c r="E25" s="57" t="s">
        <v>339</v>
      </c>
      <c r="F25" s="57" t="s">
        <v>339</v>
      </c>
      <c r="G25" t="s">
        <v>339</v>
      </c>
      <c r="H25" t="s">
        <v>343</v>
      </c>
      <c r="I25" s="57" t="s">
        <v>341</v>
      </c>
      <c r="J25" s="57" t="s">
        <v>344</v>
      </c>
      <c r="K25" s="57" t="s">
        <v>267</v>
      </c>
      <c r="L25" s="58" t="s">
        <v>294</v>
      </c>
      <c r="M25" s="59">
        <v>46127</v>
      </c>
      <c r="N25" s="60">
        <v>46155</v>
      </c>
    </row>
    <row r="26" spans="2:14" hidden="1" x14ac:dyDescent="0.3">
      <c r="B26" s="56" t="s">
        <v>263</v>
      </c>
      <c r="C26" s="57" t="s">
        <v>312</v>
      </c>
      <c r="D26" s="57" t="s">
        <v>313</v>
      </c>
      <c r="E26" s="57" t="s">
        <v>345</v>
      </c>
      <c r="F26" s="57" t="s">
        <v>345</v>
      </c>
      <c r="G26" t="s">
        <v>345</v>
      </c>
      <c r="H26" t="s">
        <v>346</v>
      </c>
      <c r="I26" s="57" t="s">
        <v>347</v>
      </c>
      <c r="J26" s="57" t="s">
        <v>348</v>
      </c>
      <c r="K26" s="57" t="s">
        <v>267</v>
      </c>
      <c r="L26" s="58" t="s">
        <v>294</v>
      </c>
      <c r="M26" s="59">
        <v>46156</v>
      </c>
      <c r="N26" s="60">
        <v>46188</v>
      </c>
    </row>
    <row r="27" spans="2:14" hidden="1" x14ac:dyDescent="0.3">
      <c r="B27" s="56" t="s">
        <v>263</v>
      </c>
      <c r="C27" s="57" t="s">
        <v>312</v>
      </c>
      <c r="D27" s="57" t="s">
        <v>313</v>
      </c>
      <c r="E27" s="57" t="s">
        <v>345</v>
      </c>
      <c r="F27" s="57" t="s">
        <v>345</v>
      </c>
      <c r="G27" t="s">
        <v>345</v>
      </c>
      <c r="H27" t="s">
        <v>349</v>
      </c>
      <c r="I27" s="57" t="s">
        <v>347</v>
      </c>
      <c r="J27" s="57" t="s">
        <v>350</v>
      </c>
      <c r="K27" s="57" t="s">
        <v>267</v>
      </c>
      <c r="L27" s="58" t="s">
        <v>294</v>
      </c>
      <c r="M27" s="59">
        <v>46156</v>
      </c>
      <c r="N27" s="60">
        <v>46188</v>
      </c>
    </row>
    <row r="28" spans="2:14" hidden="1" x14ac:dyDescent="0.3">
      <c r="B28" s="56" t="s">
        <v>263</v>
      </c>
      <c r="C28" s="57" t="s">
        <v>312</v>
      </c>
      <c r="D28" s="57" t="s">
        <v>313</v>
      </c>
      <c r="E28" s="57" t="s">
        <v>351</v>
      </c>
      <c r="F28" s="57" t="s">
        <v>351</v>
      </c>
      <c r="G28" t="s">
        <v>351</v>
      </c>
      <c r="H28" t="s">
        <v>352</v>
      </c>
      <c r="I28" s="57" t="s">
        <v>353</v>
      </c>
      <c r="J28" s="57" t="s">
        <v>354</v>
      </c>
      <c r="K28" s="57" t="s">
        <v>267</v>
      </c>
      <c r="L28" s="58" t="s">
        <v>294</v>
      </c>
      <c r="M28" s="59">
        <v>46189</v>
      </c>
      <c r="N28" s="60">
        <v>46217</v>
      </c>
    </row>
    <row r="29" spans="2:14" hidden="1" x14ac:dyDescent="0.3">
      <c r="B29" s="56" t="s">
        <v>263</v>
      </c>
      <c r="C29" s="57" t="s">
        <v>312</v>
      </c>
      <c r="D29" s="57" t="s">
        <v>313</v>
      </c>
      <c r="E29" s="57" t="s">
        <v>351</v>
      </c>
      <c r="F29" s="57" t="s">
        <v>351</v>
      </c>
      <c r="G29" t="s">
        <v>351</v>
      </c>
      <c r="H29" t="s">
        <v>355</v>
      </c>
      <c r="I29" s="57" t="s">
        <v>353</v>
      </c>
      <c r="J29" s="57" t="s">
        <v>356</v>
      </c>
      <c r="K29" s="57" t="s">
        <v>267</v>
      </c>
      <c r="L29" s="58" t="s">
        <v>294</v>
      </c>
      <c r="M29" s="59">
        <v>46189</v>
      </c>
      <c r="N29" s="60">
        <v>46217</v>
      </c>
    </row>
    <row r="30" spans="2:14" hidden="1" x14ac:dyDescent="0.3">
      <c r="B30" s="56" t="s">
        <v>263</v>
      </c>
      <c r="C30" s="57" t="s">
        <v>312</v>
      </c>
      <c r="D30" s="57" t="s">
        <v>313</v>
      </c>
      <c r="E30" s="57" t="s">
        <v>357</v>
      </c>
      <c r="F30" s="57" t="s">
        <v>357</v>
      </c>
      <c r="G30" t="s">
        <v>357</v>
      </c>
      <c r="H30" t="s">
        <v>358</v>
      </c>
      <c r="I30" s="57" t="s">
        <v>359</v>
      </c>
      <c r="J30" s="57" t="s">
        <v>360</v>
      </c>
      <c r="K30" s="57" t="s">
        <v>267</v>
      </c>
      <c r="L30" s="58" t="s">
        <v>294</v>
      </c>
      <c r="M30" s="59">
        <v>46218</v>
      </c>
      <c r="N30" s="60">
        <v>46246</v>
      </c>
    </row>
    <row r="31" spans="2:14" hidden="1" x14ac:dyDescent="0.3">
      <c r="B31" s="56" t="s">
        <v>263</v>
      </c>
      <c r="C31" s="57" t="s">
        <v>312</v>
      </c>
      <c r="D31" s="57" t="s">
        <v>313</v>
      </c>
      <c r="E31" s="57" t="s">
        <v>357</v>
      </c>
      <c r="F31" s="57" t="s">
        <v>357</v>
      </c>
      <c r="G31" t="s">
        <v>357</v>
      </c>
      <c r="H31" t="s">
        <v>361</v>
      </c>
      <c r="I31" s="57" t="s">
        <v>359</v>
      </c>
      <c r="J31" s="57" t="s">
        <v>362</v>
      </c>
      <c r="K31" s="57" t="s">
        <v>267</v>
      </c>
      <c r="L31" s="58" t="s">
        <v>294</v>
      </c>
      <c r="M31" s="59">
        <v>46218</v>
      </c>
      <c r="N31" s="60">
        <v>46246</v>
      </c>
    </row>
    <row r="32" spans="2:14" hidden="1" x14ac:dyDescent="0.3">
      <c r="B32" s="56" t="s">
        <v>263</v>
      </c>
      <c r="C32" s="57" t="s">
        <v>312</v>
      </c>
      <c r="D32" s="57" t="s">
        <v>313</v>
      </c>
      <c r="E32" s="57" t="s">
        <v>363</v>
      </c>
      <c r="F32" s="57" t="s">
        <v>363</v>
      </c>
      <c r="G32" t="s">
        <v>363</v>
      </c>
      <c r="H32" t="s">
        <v>363</v>
      </c>
      <c r="I32" s="57" t="s">
        <v>364</v>
      </c>
      <c r="J32" s="57" t="s">
        <v>365</v>
      </c>
      <c r="K32" s="57" t="s">
        <v>267</v>
      </c>
      <c r="L32" s="58" t="s">
        <v>294</v>
      </c>
      <c r="M32" s="59">
        <v>46247</v>
      </c>
      <c r="N32" s="60">
        <v>46275</v>
      </c>
    </row>
    <row r="33" spans="2:14" hidden="1" x14ac:dyDescent="0.3">
      <c r="B33" s="56" t="s">
        <v>263</v>
      </c>
      <c r="C33" s="57" t="s">
        <v>312</v>
      </c>
      <c r="D33" s="57" t="s">
        <v>313</v>
      </c>
      <c r="E33" s="57" t="s">
        <v>366</v>
      </c>
      <c r="F33" s="57" t="s">
        <v>366</v>
      </c>
      <c r="G33" t="s">
        <v>366</v>
      </c>
      <c r="H33" t="s">
        <v>366</v>
      </c>
      <c r="I33" s="57" t="s">
        <v>367</v>
      </c>
      <c r="J33" s="57" t="s">
        <v>368</v>
      </c>
      <c r="K33" s="57" t="s">
        <v>267</v>
      </c>
      <c r="L33" s="58" t="s">
        <v>307</v>
      </c>
      <c r="M33" s="59">
        <v>46404</v>
      </c>
      <c r="N33" s="60">
        <v>46435</v>
      </c>
    </row>
    <row r="34" spans="2:14" hidden="1" x14ac:dyDescent="0.3">
      <c r="B34" s="56" t="s">
        <v>263</v>
      </c>
      <c r="C34" s="57" t="s">
        <v>312</v>
      </c>
      <c r="D34" s="57" t="s">
        <v>369</v>
      </c>
      <c r="E34" s="57" t="s">
        <v>369</v>
      </c>
      <c r="F34" s="57" t="s">
        <v>369</v>
      </c>
      <c r="G34" t="s">
        <v>369</v>
      </c>
      <c r="H34" t="s">
        <v>369</v>
      </c>
      <c r="I34" s="57" t="s">
        <v>370</v>
      </c>
      <c r="J34" s="57" t="s">
        <v>371</v>
      </c>
      <c r="K34" s="57" t="s">
        <v>267</v>
      </c>
      <c r="L34" s="58" t="s">
        <v>307</v>
      </c>
      <c r="M34" s="59">
        <v>46110</v>
      </c>
      <c r="N34" s="60">
        <v>46141</v>
      </c>
    </row>
    <row r="35" spans="2:14" hidden="1" x14ac:dyDescent="0.3">
      <c r="B35" s="56" t="s">
        <v>263</v>
      </c>
      <c r="C35" s="57" t="s">
        <v>312</v>
      </c>
      <c r="D35" s="57" t="s">
        <v>372</v>
      </c>
      <c r="E35" s="57" t="s">
        <v>372</v>
      </c>
      <c r="F35" s="57" t="s">
        <v>372</v>
      </c>
      <c r="G35" t="s">
        <v>372</v>
      </c>
      <c r="H35" t="s">
        <v>372</v>
      </c>
      <c r="I35" s="57" t="s">
        <v>373</v>
      </c>
      <c r="J35" s="57" t="s">
        <v>374</v>
      </c>
      <c r="K35" s="57" t="s">
        <v>267</v>
      </c>
      <c r="L35" s="58" t="s">
        <v>307</v>
      </c>
      <c r="M35" s="59">
        <v>46142</v>
      </c>
      <c r="N35" s="60">
        <v>46177</v>
      </c>
    </row>
    <row r="36" spans="2:14" hidden="1" x14ac:dyDescent="0.3">
      <c r="B36" s="56" t="s">
        <v>263</v>
      </c>
      <c r="C36" s="57" t="s">
        <v>312</v>
      </c>
      <c r="D36" s="57" t="s">
        <v>375</v>
      </c>
      <c r="E36" s="57" t="s">
        <v>375</v>
      </c>
      <c r="F36" s="57" t="s">
        <v>375</v>
      </c>
      <c r="G36" t="s">
        <v>375</v>
      </c>
      <c r="H36" t="s">
        <v>376</v>
      </c>
      <c r="I36" s="57" t="s">
        <v>377</v>
      </c>
      <c r="J36" s="57" t="s">
        <v>378</v>
      </c>
      <c r="K36" s="57" t="s">
        <v>267</v>
      </c>
      <c r="L36" s="58" t="s">
        <v>307</v>
      </c>
      <c r="M36" s="59">
        <v>46030</v>
      </c>
      <c r="N36" s="60">
        <v>46062</v>
      </c>
    </row>
    <row r="37" spans="2:14" hidden="1" x14ac:dyDescent="0.3">
      <c r="B37" s="56" t="s">
        <v>263</v>
      </c>
      <c r="C37" s="57" t="s">
        <v>312</v>
      </c>
      <c r="D37" s="57" t="s">
        <v>375</v>
      </c>
      <c r="E37" s="57" t="s">
        <v>375</v>
      </c>
      <c r="F37" s="57" t="s">
        <v>375</v>
      </c>
      <c r="G37" t="s">
        <v>375</v>
      </c>
      <c r="H37" t="s">
        <v>379</v>
      </c>
      <c r="I37" s="57" t="s">
        <v>377</v>
      </c>
      <c r="J37" s="57" t="s">
        <v>380</v>
      </c>
      <c r="K37" s="57" t="s">
        <v>267</v>
      </c>
      <c r="L37" s="58" t="s">
        <v>307</v>
      </c>
      <c r="M37" s="59">
        <v>46089</v>
      </c>
      <c r="N37" s="60">
        <v>46123</v>
      </c>
    </row>
    <row r="38" spans="2:14" hidden="1" x14ac:dyDescent="0.3">
      <c r="B38" s="56" t="s">
        <v>263</v>
      </c>
      <c r="C38" s="57" t="s">
        <v>312</v>
      </c>
      <c r="D38" s="57" t="s">
        <v>375</v>
      </c>
      <c r="E38" s="57" t="s">
        <v>375</v>
      </c>
      <c r="F38" s="57" t="s">
        <v>375</v>
      </c>
      <c r="G38" t="s">
        <v>375</v>
      </c>
      <c r="H38" t="s">
        <v>381</v>
      </c>
      <c r="I38" s="57" t="s">
        <v>377</v>
      </c>
      <c r="J38" s="57" t="s">
        <v>382</v>
      </c>
      <c r="K38" s="57" t="s">
        <v>267</v>
      </c>
      <c r="L38" s="58" t="s">
        <v>307</v>
      </c>
      <c r="M38" s="59">
        <v>46138</v>
      </c>
      <c r="N38" s="60">
        <v>46173</v>
      </c>
    </row>
    <row r="39" spans="2:14" hidden="1" x14ac:dyDescent="0.3">
      <c r="B39" s="56" t="s">
        <v>263</v>
      </c>
      <c r="C39" s="57" t="s">
        <v>312</v>
      </c>
      <c r="D39" s="57" t="s">
        <v>375</v>
      </c>
      <c r="E39" s="57" t="s">
        <v>375</v>
      </c>
      <c r="F39" s="57" t="s">
        <v>375</v>
      </c>
      <c r="G39" t="s">
        <v>375</v>
      </c>
      <c r="H39" t="s">
        <v>383</v>
      </c>
      <c r="I39" s="57" t="s">
        <v>377</v>
      </c>
      <c r="J39" s="57" t="s">
        <v>384</v>
      </c>
      <c r="K39" s="57" t="s">
        <v>267</v>
      </c>
      <c r="L39" s="58" t="s">
        <v>307</v>
      </c>
      <c r="M39" s="59">
        <v>46258</v>
      </c>
      <c r="N39" s="60">
        <v>46291</v>
      </c>
    </row>
    <row r="40" spans="2:14" hidden="1" x14ac:dyDescent="0.3">
      <c r="B40" s="56" t="s">
        <v>263</v>
      </c>
      <c r="C40" s="57" t="s">
        <v>312</v>
      </c>
      <c r="D40" s="57" t="s">
        <v>375</v>
      </c>
      <c r="E40" s="57" t="s">
        <v>375</v>
      </c>
      <c r="F40" s="57" t="s">
        <v>375</v>
      </c>
      <c r="G40" t="s">
        <v>375</v>
      </c>
      <c r="H40" t="s">
        <v>385</v>
      </c>
      <c r="I40" s="57" t="s">
        <v>377</v>
      </c>
      <c r="J40" s="57" t="s">
        <v>386</v>
      </c>
      <c r="K40" s="57" t="s">
        <v>267</v>
      </c>
      <c r="L40" s="58" t="s">
        <v>307</v>
      </c>
      <c r="M40" s="59">
        <v>46357</v>
      </c>
      <c r="N40" s="60">
        <v>46389</v>
      </c>
    </row>
    <row r="41" spans="2:14" hidden="1" x14ac:dyDescent="0.3">
      <c r="B41" s="56" t="s">
        <v>263</v>
      </c>
      <c r="C41" s="57" t="s">
        <v>312</v>
      </c>
      <c r="D41" s="57" t="s">
        <v>387</v>
      </c>
      <c r="E41" s="57" t="s">
        <v>291</v>
      </c>
      <c r="F41" s="57" t="s">
        <v>388</v>
      </c>
      <c r="G41" t="s">
        <v>388</v>
      </c>
      <c r="H41" t="s">
        <v>388</v>
      </c>
      <c r="I41" s="57" t="s">
        <v>389</v>
      </c>
      <c r="J41" s="57" t="s">
        <v>390</v>
      </c>
      <c r="K41" s="57" t="s">
        <v>267</v>
      </c>
      <c r="L41" s="58" t="s">
        <v>294</v>
      </c>
      <c r="M41" s="59">
        <v>45998</v>
      </c>
      <c r="N41" s="60">
        <v>46026</v>
      </c>
    </row>
    <row r="42" spans="2:14" hidden="1" x14ac:dyDescent="0.3">
      <c r="B42" s="56" t="s">
        <v>263</v>
      </c>
      <c r="C42" s="57" t="s">
        <v>312</v>
      </c>
      <c r="D42" s="57" t="s">
        <v>387</v>
      </c>
      <c r="E42" s="57" t="s">
        <v>291</v>
      </c>
      <c r="F42" s="57" t="s">
        <v>391</v>
      </c>
      <c r="G42" t="s">
        <v>391</v>
      </c>
      <c r="H42" t="s">
        <v>392</v>
      </c>
      <c r="I42" s="57" t="s">
        <v>393</v>
      </c>
      <c r="J42" s="57" t="s">
        <v>394</v>
      </c>
      <c r="K42" s="57" t="s">
        <v>267</v>
      </c>
      <c r="L42" s="58" t="s">
        <v>307</v>
      </c>
      <c r="M42" s="59">
        <v>46030</v>
      </c>
      <c r="N42" s="60">
        <v>46062</v>
      </c>
    </row>
    <row r="43" spans="2:14" hidden="1" x14ac:dyDescent="0.3">
      <c r="B43" s="56" t="s">
        <v>263</v>
      </c>
      <c r="C43" s="57" t="s">
        <v>312</v>
      </c>
      <c r="D43" s="57" t="s">
        <v>387</v>
      </c>
      <c r="E43" s="57" t="s">
        <v>291</v>
      </c>
      <c r="F43" s="57" t="s">
        <v>391</v>
      </c>
      <c r="G43" t="s">
        <v>391</v>
      </c>
      <c r="H43" t="s">
        <v>395</v>
      </c>
      <c r="I43" s="57" t="s">
        <v>393</v>
      </c>
      <c r="J43" s="57" t="s">
        <v>396</v>
      </c>
      <c r="K43" s="57" t="s">
        <v>267</v>
      </c>
      <c r="L43" s="58" t="s">
        <v>397</v>
      </c>
      <c r="M43" s="59">
        <v>46107</v>
      </c>
      <c r="N43" s="60">
        <v>46127</v>
      </c>
    </row>
    <row r="44" spans="2:14" hidden="1" x14ac:dyDescent="0.3">
      <c r="B44" s="56" t="s">
        <v>263</v>
      </c>
      <c r="C44" s="57" t="s">
        <v>312</v>
      </c>
      <c r="D44" s="57" t="s">
        <v>387</v>
      </c>
      <c r="E44" s="57" t="s">
        <v>291</v>
      </c>
      <c r="F44" s="57" t="s">
        <v>391</v>
      </c>
      <c r="G44" t="s">
        <v>391</v>
      </c>
      <c r="H44" t="s">
        <v>398</v>
      </c>
      <c r="I44" s="57" t="s">
        <v>393</v>
      </c>
      <c r="J44" s="57" t="s">
        <v>399</v>
      </c>
      <c r="K44" s="57" t="s">
        <v>267</v>
      </c>
      <c r="L44" s="58" t="s">
        <v>307</v>
      </c>
      <c r="M44" s="59">
        <v>46128</v>
      </c>
      <c r="N44" s="60">
        <v>46160</v>
      </c>
    </row>
    <row r="45" spans="2:14" hidden="1" x14ac:dyDescent="0.3">
      <c r="B45" s="56" t="s">
        <v>263</v>
      </c>
      <c r="C45" s="57" t="s">
        <v>312</v>
      </c>
      <c r="D45" s="57" t="s">
        <v>387</v>
      </c>
      <c r="E45" s="57" t="s">
        <v>291</v>
      </c>
      <c r="F45" s="57" t="s">
        <v>391</v>
      </c>
      <c r="G45" t="s">
        <v>391</v>
      </c>
      <c r="H45" t="s">
        <v>400</v>
      </c>
      <c r="I45" s="57" t="s">
        <v>393</v>
      </c>
      <c r="J45" s="57" t="s">
        <v>401</v>
      </c>
      <c r="K45" s="57" t="s">
        <v>267</v>
      </c>
      <c r="L45" s="58" t="s">
        <v>307</v>
      </c>
      <c r="M45" s="59">
        <v>46211</v>
      </c>
      <c r="N45" s="60">
        <v>46243</v>
      </c>
    </row>
    <row r="46" spans="2:14" hidden="1" x14ac:dyDescent="0.3">
      <c r="B46" s="56" t="s">
        <v>263</v>
      </c>
      <c r="C46" s="57" t="s">
        <v>312</v>
      </c>
      <c r="D46" s="57" t="s">
        <v>387</v>
      </c>
      <c r="E46" s="57" t="s">
        <v>291</v>
      </c>
      <c r="F46" s="57" t="s">
        <v>391</v>
      </c>
      <c r="G46" t="s">
        <v>391</v>
      </c>
      <c r="H46" t="s">
        <v>402</v>
      </c>
      <c r="I46" s="57" t="s">
        <v>393</v>
      </c>
      <c r="J46" s="57" t="s">
        <v>403</v>
      </c>
      <c r="K46" s="57" t="s">
        <v>267</v>
      </c>
      <c r="L46" s="58" t="s">
        <v>307</v>
      </c>
      <c r="M46" s="59">
        <v>46258</v>
      </c>
      <c r="N46" s="60">
        <v>46291</v>
      </c>
    </row>
    <row r="47" spans="2:14" hidden="1" x14ac:dyDescent="0.3">
      <c r="B47" s="56" t="s">
        <v>263</v>
      </c>
      <c r="C47" s="57" t="s">
        <v>312</v>
      </c>
      <c r="D47" s="57" t="s">
        <v>387</v>
      </c>
      <c r="E47" s="57" t="s">
        <v>295</v>
      </c>
      <c r="F47" s="57" t="s">
        <v>388</v>
      </c>
      <c r="G47" t="s">
        <v>388</v>
      </c>
      <c r="H47" t="s">
        <v>388</v>
      </c>
      <c r="I47" s="57" t="s">
        <v>404</v>
      </c>
      <c r="J47" s="57" t="s">
        <v>405</v>
      </c>
      <c r="K47" s="57" t="s">
        <v>267</v>
      </c>
      <c r="L47" s="58" t="s">
        <v>294</v>
      </c>
      <c r="M47" s="59">
        <v>46005</v>
      </c>
      <c r="N47" s="60">
        <v>46033</v>
      </c>
    </row>
    <row r="48" spans="2:14" hidden="1" x14ac:dyDescent="0.3">
      <c r="B48" s="56" t="s">
        <v>263</v>
      </c>
      <c r="C48" s="57" t="s">
        <v>312</v>
      </c>
      <c r="D48" s="57" t="s">
        <v>387</v>
      </c>
      <c r="E48" s="57" t="s">
        <v>295</v>
      </c>
      <c r="F48" s="57" t="s">
        <v>391</v>
      </c>
      <c r="G48" t="s">
        <v>391</v>
      </c>
      <c r="H48" t="s">
        <v>392</v>
      </c>
      <c r="I48" s="57" t="s">
        <v>406</v>
      </c>
      <c r="J48" s="57" t="s">
        <v>407</v>
      </c>
      <c r="K48" s="57" t="s">
        <v>267</v>
      </c>
      <c r="L48" s="58" t="s">
        <v>307</v>
      </c>
      <c r="M48" s="59">
        <v>46006</v>
      </c>
      <c r="N48" s="60">
        <v>46037</v>
      </c>
    </row>
    <row r="49" spans="2:14" hidden="1" x14ac:dyDescent="0.3">
      <c r="B49" s="56" t="s">
        <v>263</v>
      </c>
      <c r="C49" s="57" t="s">
        <v>312</v>
      </c>
      <c r="D49" s="57" t="s">
        <v>387</v>
      </c>
      <c r="E49" s="57" t="s">
        <v>295</v>
      </c>
      <c r="F49" s="57" t="s">
        <v>391</v>
      </c>
      <c r="G49" t="s">
        <v>391</v>
      </c>
      <c r="H49" t="s">
        <v>395</v>
      </c>
      <c r="I49" s="57" t="s">
        <v>406</v>
      </c>
      <c r="J49" s="57" t="s">
        <v>408</v>
      </c>
      <c r="K49" s="57" t="s">
        <v>267</v>
      </c>
      <c r="L49" s="58" t="s">
        <v>397</v>
      </c>
      <c r="M49" s="59">
        <v>46084</v>
      </c>
      <c r="N49" s="60">
        <v>46106</v>
      </c>
    </row>
    <row r="50" spans="2:14" hidden="1" x14ac:dyDescent="0.3">
      <c r="B50" s="56" t="s">
        <v>263</v>
      </c>
      <c r="C50" s="57" t="s">
        <v>312</v>
      </c>
      <c r="D50" s="57" t="s">
        <v>387</v>
      </c>
      <c r="E50" s="57" t="s">
        <v>295</v>
      </c>
      <c r="F50" s="57" t="s">
        <v>391</v>
      </c>
      <c r="G50" t="s">
        <v>391</v>
      </c>
      <c r="H50" t="s">
        <v>398</v>
      </c>
      <c r="I50" s="57" t="s">
        <v>406</v>
      </c>
      <c r="J50" s="57" t="s">
        <v>409</v>
      </c>
      <c r="K50" s="57" t="s">
        <v>267</v>
      </c>
      <c r="L50" s="58" t="s">
        <v>307</v>
      </c>
      <c r="M50" s="59">
        <v>46107</v>
      </c>
      <c r="N50" s="60">
        <v>46139</v>
      </c>
    </row>
    <row r="51" spans="2:14" hidden="1" x14ac:dyDescent="0.3">
      <c r="B51" s="56" t="s">
        <v>263</v>
      </c>
      <c r="C51" s="57" t="s">
        <v>312</v>
      </c>
      <c r="D51" s="57" t="s">
        <v>387</v>
      </c>
      <c r="E51" s="57" t="s">
        <v>295</v>
      </c>
      <c r="F51" s="57" t="s">
        <v>391</v>
      </c>
      <c r="G51" t="s">
        <v>391</v>
      </c>
      <c r="H51" t="s">
        <v>402</v>
      </c>
      <c r="I51" s="57" t="s">
        <v>406</v>
      </c>
      <c r="J51" s="57" t="s">
        <v>410</v>
      </c>
      <c r="K51" s="57" t="s">
        <v>267</v>
      </c>
      <c r="L51" s="58" t="s">
        <v>307</v>
      </c>
      <c r="M51" s="59">
        <v>46156</v>
      </c>
      <c r="N51" s="60">
        <v>46191</v>
      </c>
    </row>
    <row r="52" spans="2:14" hidden="1" x14ac:dyDescent="0.3">
      <c r="B52" s="56" t="s">
        <v>263</v>
      </c>
      <c r="C52" s="57" t="s">
        <v>312</v>
      </c>
      <c r="D52" s="57" t="s">
        <v>387</v>
      </c>
      <c r="E52" s="57" t="s">
        <v>295</v>
      </c>
      <c r="F52" s="57" t="s">
        <v>391</v>
      </c>
      <c r="G52" t="s">
        <v>391</v>
      </c>
      <c r="H52" t="s">
        <v>400</v>
      </c>
      <c r="I52" s="57" t="s">
        <v>406</v>
      </c>
      <c r="J52" s="57" t="s">
        <v>411</v>
      </c>
      <c r="K52" s="57" t="s">
        <v>267</v>
      </c>
      <c r="L52" s="58" t="s">
        <v>307</v>
      </c>
      <c r="M52" s="59">
        <v>46179</v>
      </c>
      <c r="N52" s="60">
        <v>46210</v>
      </c>
    </row>
    <row r="53" spans="2:14" hidden="1" x14ac:dyDescent="0.3">
      <c r="B53" s="56" t="s">
        <v>263</v>
      </c>
      <c r="C53" s="57" t="s">
        <v>312</v>
      </c>
      <c r="D53" s="57" t="s">
        <v>387</v>
      </c>
      <c r="E53" s="57" t="s">
        <v>298</v>
      </c>
      <c r="F53" s="57" t="s">
        <v>388</v>
      </c>
      <c r="G53" t="s">
        <v>388</v>
      </c>
      <c r="H53" t="s">
        <v>388</v>
      </c>
      <c r="I53" s="57" t="s">
        <v>412</v>
      </c>
      <c r="J53" s="57" t="s">
        <v>413</v>
      </c>
      <c r="K53" s="57" t="s">
        <v>267</v>
      </c>
      <c r="L53" s="58" t="s">
        <v>294</v>
      </c>
      <c r="M53" s="59">
        <v>45991</v>
      </c>
      <c r="N53" s="60">
        <v>46019</v>
      </c>
    </row>
    <row r="54" spans="2:14" hidden="1" x14ac:dyDescent="0.3">
      <c r="B54" s="56" t="s">
        <v>263</v>
      </c>
      <c r="C54" s="57" t="s">
        <v>312</v>
      </c>
      <c r="D54" s="57" t="s">
        <v>387</v>
      </c>
      <c r="E54" s="57" t="s">
        <v>298</v>
      </c>
      <c r="F54" s="57" t="s">
        <v>391</v>
      </c>
      <c r="G54" t="s">
        <v>391</v>
      </c>
      <c r="H54" t="s">
        <v>414</v>
      </c>
      <c r="I54" s="57" t="s">
        <v>415</v>
      </c>
      <c r="J54" s="57" t="s">
        <v>416</v>
      </c>
      <c r="K54" s="57" t="s">
        <v>267</v>
      </c>
      <c r="L54" s="58" t="s">
        <v>307</v>
      </c>
      <c r="M54" s="59">
        <v>46006</v>
      </c>
      <c r="N54" s="60">
        <v>46037</v>
      </c>
    </row>
    <row r="55" spans="2:14" hidden="1" x14ac:dyDescent="0.3">
      <c r="B55" s="56" t="s">
        <v>263</v>
      </c>
      <c r="C55" s="57" t="s">
        <v>312</v>
      </c>
      <c r="D55" s="57" t="s">
        <v>387</v>
      </c>
      <c r="E55" s="57" t="s">
        <v>298</v>
      </c>
      <c r="F55" s="57" t="s">
        <v>391</v>
      </c>
      <c r="G55" t="s">
        <v>391</v>
      </c>
      <c r="H55" t="s">
        <v>395</v>
      </c>
      <c r="I55" s="57" t="s">
        <v>415</v>
      </c>
      <c r="J55" s="57" t="s">
        <v>417</v>
      </c>
      <c r="K55" s="57" t="s">
        <v>267</v>
      </c>
      <c r="L55" s="58" t="s">
        <v>397</v>
      </c>
      <c r="M55" s="59">
        <v>46020</v>
      </c>
      <c r="N55" s="60">
        <v>46040</v>
      </c>
    </row>
    <row r="56" spans="2:14" hidden="1" x14ac:dyDescent="0.3">
      <c r="B56" s="56" t="s">
        <v>263</v>
      </c>
      <c r="C56" s="57" t="s">
        <v>312</v>
      </c>
      <c r="D56" s="57" t="s">
        <v>387</v>
      </c>
      <c r="E56" s="57" t="s">
        <v>298</v>
      </c>
      <c r="F56" s="57" t="s">
        <v>391</v>
      </c>
      <c r="G56" t="s">
        <v>391</v>
      </c>
      <c r="H56" t="s">
        <v>398</v>
      </c>
      <c r="I56" s="57" t="s">
        <v>415</v>
      </c>
      <c r="J56" s="57" t="s">
        <v>418</v>
      </c>
      <c r="K56" s="57" t="s">
        <v>267</v>
      </c>
      <c r="L56" s="58" t="s">
        <v>307</v>
      </c>
      <c r="M56" s="59">
        <v>46053</v>
      </c>
      <c r="N56" s="60">
        <v>46085</v>
      </c>
    </row>
    <row r="57" spans="2:14" hidden="1" x14ac:dyDescent="0.3">
      <c r="B57" s="56" t="s">
        <v>263</v>
      </c>
      <c r="C57" s="57" t="s">
        <v>312</v>
      </c>
      <c r="D57" s="57" t="s">
        <v>387</v>
      </c>
      <c r="E57" s="57" t="s">
        <v>301</v>
      </c>
      <c r="F57" s="57" t="s">
        <v>388</v>
      </c>
      <c r="G57" t="s">
        <v>388</v>
      </c>
      <c r="H57" t="s">
        <v>388</v>
      </c>
      <c r="I57" s="57" t="s">
        <v>419</v>
      </c>
      <c r="J57" s="57" t="s">
        <v>420</v>
      </c>
      <c r="K57" s="57" t="s">
        <v>267</v>
      </c>
      <c r="L57" s="58" t="s">
        <v>294</v>
      </c>
      <c r="M57" s="59">
        <v>45984</v>
      </c>
      <c r="N57" s="60">
        <v>46012</v>
      </c>
    </row>
    <row r="58" spans="2:14" hidden="1" x14ac:dyDescent="0.3">
      <c r="B58" s="56" t="s">
        <v>263</v>
      </c>
      <c r="C58" s="57" t="s">
        <v>312</v>
      </c>
      <c r="D58" s="57" t="s">
        <v>387</v>
      </c>
      <c r="E58" s="57" t="s">
        <v>301</v>
      </c>
      <c r="F58" s="57" t="s">
        <v>391</v>
      </c>
      <c r="G58" t="s">
        <v>391</v>
      </c>
      <c r="H58" t="s">
        <v>392</v>
      </c>
      <c r="I58" s="57" t="s">
        <v>421</v>
      </c>
      <c r="J58" s="57" t="s">
        <v>422</v>
      </c>
      <c r="K58" s="57" t="s">
        <v>267</v>
      </c>
      <c r="L58" s="58" t="s">
        <v>307</v>
      </c>
      <c r="M58" s="59">
        <v>46006</v>
      </c>
      <c r="N58" s="60">
        <v>46037</v>
      </c>
    </row>
    <row r="59" spans="2:14" hidden="1" x14ac:dyDescent="0.3">
      <c r="B59" s="56" t="s">
        <v>263</v>
      </c>
      <c r="C59" s="57" t="s">
        <v>312</v>
      </c>
      <c r="D59" s="57" t="s">
        <v>387</v>
      </c>
      <c r="E59" s="57" t="s">
        <v>301</v>
      </c>
      <c r="F59" s="57" t="s">
        <v>391</v>
      </c>
      <c r="G59" t="s">
        <v>391</v>
      </c>
      <c r="H59" t="s">
        <v>395</v>
      </c>
      <c r="I59" s="57" t="s">
        <v>421</v>
      </c>
      <c r="J59" s="57" t="s">
        <v>423</v>
      </c>
      <c r="K59" s="57" t="s">
        <v>267</v>
      </c>
      <c r="L59" s="58" t="s">
        <v>397</v>
      </c>
      <c r="M59" s="59">
        <v>46041</v>
      </c>
      <c r="N59" s="60">
        <v>46061</v>
      </c>
    </row>
    <row r="60" spans="2:14" hidden="1" x14ac:dyDescent="0.3">
      <c r="B60" s="56" t="s">
        <v>263</v>
      </c>
      <c r="C60" s="57" t="s">
        <v>312</v>
      </c>
      <c r="D60" s="57" t="s">
        <v>387</v>
      </c>
      <c r="E60" s="57" t="s">
        <v>301</v>
      </c>
      <c r="F60" s="57" t="s">
        <v>391</v>
      </c>
      <c r="G60" t="s">
        <v>391</v>
      </c>
      <c r="H60" t="s">
        <v>398</v>
      </c>
      <c r="I60" s="57" t="s">
        <v>421</v>
      </c>
      <c r="J60" s="57" t="s">
        <v>424</v>
      </c>
      <c r="K60" s="57" t="s">
        <v>267</v>
      </c>
      <c r="L60" s="58" t="s">
        <v>307</v>
      </c>
      <c r="M60" s="59">
        <v>46062</v>
      </c>
      <c r="N60" s="60">
        <v>46095</v>
      </c>
    </row>
    <row r="61" spans="2:14" hidden="1" x14ac:dyDescent="0.3">
      <c r="B61" s="56" t="s">
        <v>263</v>
      </c>
      <c r="C61" s="57" t="s">
        <v>312</v>
      </c>
      <c r="D61" s="57" t="s">
        <v>387</v>
      </c>
      <c r="E61" s="57" t="s">
        <v>301</v>
      </c>
      <c r="F61" s="57" t="s">
        <v>391</v>
      </c>
      <c r="G61" t="s">
        <v>391</v>
      </c>
      <c r="H61" t="s">
        <v>400</v>
      </c>
      <c r="I61" s="57" t="s">
        <v>421</v>
      </c>
      <c r="J61" s="57" t="s">
        <v>425</v>
      </c>
      <c r="K61" s="57" t="s">
        <v>267</v>
      </c>
      <c r="L61" s="58" t="s">
        <v>307</v>
      </c>
      <c r="M61" s="59">
        <v>46110</v>
      </c>
      <c r="N61" s="60">
        <v>46141</v>
      </c>
    </row>
    <row r="62" spans="2:14" hidden="1" x14ac:dyDescent="0.3">
      <c r="B62" s="56" t="s">
        <v>263</v>
      </c>
      <c r="C62" s="57" t="s">
        <v>312</v>
      </c>
      <c r="D62" s="57" t="s">
        <v>387</v>
      </c>
      <c r="E62" s="57" t="s">
        <v>301</v>
      </c>
      <c r="F62" s="57" t="s">
        <v>391</v>
      </c>
      <c r="G62" t="s">
        <v>391</v>
      </c>
      <c r="H62" t="s">
        <v>402</v>
      </c>
      <c r="I62" s="57" t="s">
        <v>421</v>
      </c>
      <c r="J62" s="57" t="s">
        <v>426</v>
      </c>
      <c r="K62" s="57" t="s">
        <v>267</v>
      </c>
      <c r="L62" s="58" t="s">
        <v>307</v>
      </c>
      <c r="M62" s="59">
        <v>46124</v>
      </c>
      <c r="N62" s="60">
        <v>46155</v>
      </c>
    </row>
    <row r="63" spans="2:14" hidden="1" x14ac:dyDescent="0.3">
      <c r="B63" s="56" t="s">
        <v>263</v>
      </c>
      <c r="C63" s="57" t="s">
        <v>312</v>
      </c>
      <c r="D63" s="57" t="s">
        <v>387</v>
      </c>
      <c r="E63" s="57" t="s">
        <v>304</v>
      </c>
      <c r="F63" s="57" t="s">
        <v>388</v>
      </c>
      <c r="G63" t="s">
        <v>388</v>
      </c>
      <c r="H63" t="s">
        <v>388</v>
      </c>
      <c r="I63" s="57" t="s">
        <v>427</v>
      </c>
      <c r="J63" s="57" t="s">
        <v>428</v>
      </c>
      <c r="K63" s="57" t="s">
        <v>267</v>
      </c>
      <c r="L63" s="58" t="s">
        <v>294</v>
      </c>
      <c r="M63" s="59">
        <v>45977</v>
      </c>
      <c r="N63" s="60">
        <v>46005</v>
      </c>
    </row>
    <row r="64" spans="2:14" hidden="1" x14ac:dyDescent="0.3">
      <c r="B64" s="56" t="s">
        <v>263</v>
      </c>
      <c r="C64" s="57" t="s">
        <v>312</v>
      </c>
      <c r="D64" s="57" t="s">
        <v>387</v>
      </c>
      <c r="E64" s="57" t="s">
        <v>304</v>
      </c>
      <c r="F64" s="57" t="s">
        <v>391</v>
      </c>
      <c r="G64" t="s">
        <v>391</v>
      </c>
      <c r="H64" t="s">
        <v>392</v>
      </c>
      <c r="I64" s="57" t="s">
        <v>429</v>
      </c>
      <c r="J64" s="57" t="s">
        <v>430</v>
      </c>
      <c r="K64" s="57" t="s">
        <v>267</v>
      </c>
      <c r="L64" s="58" t="s">
        <v>307</v>
      </c>
      <c r="M64" s="59">
        <v>46006</v>
      </c>
      <c r="N64" s="60">
        <v>46037</v>
      </c>
    </row>
    <row r="65" spans="2:14" hidden="1" x14ac:dyDescent="0.3">
      <c r="B65" s="56" t="s">
        <v>263</v>
      </c>
      <c r="C65" s="57" t="s">
        <v>312</v>
      </c>
      <c r="D65" s="57" t="s">
        <v>387</v>
      </c>
      <c r="E65" s="57" t="s">
        <v>304</v>
      </c>
      <c r="F65" s="57" t="s">
        <v>391</v>
      </c>
      <c r="G65" t="s">
        <v>391</v>
      </c>
      <c r="H65" t="s">
        <v>395</v>
      </c>
      <c r="I65" s="57" t="s">
        <v>429</v>
      </c>
      <c r="J65" s="57" t="s">
        <v>431</v>
      </c>
      <c r="K65" s="57" t="s">
        <v>267</v>
      </c>
      <c r="L65" s="58" t="s">
        <v>397</v>
      </c>
      <c r="M65" s="59">
        <v>46062</v>
      </c>
      <c r="N65" s="60">
        <v>46083</v>
      </c>
    </row>
    <row r="66" spans="2:14" hidden="1" x14ac:dyDescent="0.3">
      <c r="B66" s="56" t="s">
        <v>263</v>
      </c>
      <c r="C66" s="57" t="s">
        <v>312</v>
      </c>
      <c r="D66" s="57" t="s">
        <v>387</v>
      </c>
      <c r="E66" s="57" t="s">
        <v>304</v>
      </c>
      <c r="F66" s="57" t="s">
        <v>391</v>
      </c>
      <c r="G66" t="s">
        <v>391</v>
      </c>
      <c r="H66" t="s">
        <v>398</v>
      </c>
      <c r="I66" s="57" t="s">
        <v>429</v>
      </c>
      <c r="J66" s="57" t="s">
        <v>432</v>
      </c>
      <c r="K66" s="57" t="s">
        <v>267</v>
      </c>
      <c r="L66" s="58" t="s">
        <v>307</v>
      </c>
      <c r="M66" s="59">
        <v>46084</v>
      </c>
      <c r="N66" s="60">
        <v>46118</v>
      </c>
    </row>
    <row r="67" spans="2:14" hidden="1" x14ac:dyDescent="0.3">
      <c r="B67" s="56" t="s">
        <v>263</v>
      </c>
      <c r="C67" s="57" t="s">
        <v>312</v>
      </c>
      <c r="D67" s="57" t="s">
        <v>387</v>
      </c>
      <c r="E67" s="57" t="s">
        <v>304</v>
      </c>
      <c r="F67" s="57" t="s">
        <v>391</v>
      </c>
      <c r="G67" t="s">
        <v>391</v>
      </c>
      <c r="H67" t="s">
        <v>402</v>
      </c>
      <c r="I67" s="57" t="s">
        <v>429</v>
      </c>
      <c r="J67" s="57" t="s">
        <v>433</v>
      </c>
      <c r="K67" s="57" t="s">
        <v>267</v>
      </c>
      <c r="L67" s="58" t="s">
        <v>307</v>
      </c>
      <c r="M67" s="59">
        <v>46124</v>
      </c>
      <c r="N67" s="60">
        <v>46155</v>
      </c>
    </row>
    <row r="68" spans="2:14" hidden="1" x14ac:dyDescent="0.3">
      <c r="B68" s="56" t="s">
        <v>263</v>
      </c>
      <c r="C68" s="57" t="s">
        <v>312</v>
      </c>
      <c r="D68" s="57" t="s">
        <v>387</v>
      </c>
      <c r="E68" s="57" t="s">
        <v>304</v>
      </c>
      <c r="F68" s="57" t="s">
        <v>391</v>
      </c>
      <c r="G68" t="s">
        <v>391</v>
      </c>
      <c r="H68" t="s">
        <v>400</v>
      </c>
      <c r="I68" s="57" t="s">
        <v>429</v>
      </c>
      <c r="J68" s="57" t="s">
        <v>434</v>
      </c>
      <c r="K68" s="57" t="s">
        <v>267</v>
      </c>
      <c r="L68" s="58" t="s">
        <v>307</v>
      </c>
      <c r="M68" s="59">
        <v>46142</v>
      </c>
      <c r="N68" s="60">
        <v>46177</v>
      </c>
    </row>
    <row r="69" spans="2:14" hidden="1" x14ac:dyDescent="0.3">
      <c r="B69" s="56" t="s">
        <v>263</v>
      </c>
      <c r="C69" s="57" t="s">
        <v>312</v>
      </c>
      <c r="D69" s="57" t="s">
        <v>308</v>
      </c>
      <c r="E69" s="57" t="s">
        <v>308</v>
      </c>
      <c r="F69" s="57" t="s">
        <v>308</v>
      </c>
      <c r="G69" t="s">
        <v>308</v>
      </c>
      <c r="H69" t="s">
        <v>435</v>
      </c>
      <c r="I69" s="57" t="s">
        <v>436</v>
      </c>
      <c r="J69" s="57" t="s">
        <v>437</v>
      </c>
      <c r="K69" s="57" t="s">
        <v>267</v>
      </c>
      <c r="L69" s="58" t="s">
        <v>307</v>
      </c>
      <c r="M69" s="59">
        <v>46491</v>
      </c>
      <c r="N69" s="60">
        <v>46527</v>
      </c>
    </row>
    <row r="70" spans="2:14" hidden="1" x14ac:dyDescent="0.3">
      <c r="B70" s="56" t="s">
        <v>263</v>
      </c>
      <c r="C70" s="57" t="s">
        <v>312</v>
      </c>
      <c r="D70" s="57" t="s">
        <v>308</v>
      </c>
      <c r="E70" s="57" t="s">
        <v>308</v>
      </c>
      <c r="F70" s="57" t="s">
        <v>308</v>
      </c>
      <c r="G70" t="s">
        <v>308</v>
      </c>
      <c r="H70" t="s">
        <v>438</v>
      </c>
      <c r="I70" s="57" t="s">
        <v>436</v>
      </c>
      <c r="J70" s="57" t="s">
        <v>439</v>
      </c>
      <c r="K70" s="57" t="s">
        <v>267</v>
      </c>
      <c r="L70" s="58" t="s">
        <v>307</v>
      </c>
      <c r="M70" s="59">
        <v>46543</v>
      </c>
      <c r="N70" s="60">
        <v>46574</v>
      </c>
    </row>
    <row r="71" spans="2:14" hidden="1" x14ac:dyDescent="0.3">
      <c r="B71" s="56" t="s">
        <v>263</v>
      </c>
      <c r="C71" s="57" t="s">
        <v>440</v>
      </c>
      <c r="D71" s="57" t="s">
        <v>441</v>
      </c>
      <c r="E71" s="57" t="s">
        <v>442</v>
      </c>
      <c r="F71" s="57" t="s">
        <v>442</v>
      </c>
      <c r="G71" t="s">
        <v>442</v>
      </c>
      <c r="H71" t="s">
        <v>442</v>
      </c>
      <c r="I71" s="57" t="s">
        <v>443</v>
      </c>
      <c r="J71" s="57" t="s">
        <v>444</v>
      </c>
      <c r="K71" s="57" t="s">
        <v>267</v>
      </c>
      <c r="L71" s="58" t="s">
        <v>311</v>
      </c>
      <c r="M71" s="59">
        <v>46006</v>
      </c>
      <c r="N71" s="60">
        <v>46029</v>
      </c>
    </row>
    <row r="72" spans="2:14" hidden="1" x14ac:dyDescent="0.3">
      <c r="B72" s="56" t="s">
        <v>263</v>
      </c>
      <c r="C72" s="57" t="s">
        <v>440</v>
      </c>
      <c r="D72" s="57" t="s">
        <v>441</v>
      </c>
      <c r="E72" s="57" t="s">
        <v>445</v>
      </c>
      <c r="F72" s="57" t="s">
        <v>445</v>
      </c>
      <c r="G72" t="s">
        <v>445</v>
      </c>
      <c r="H72" t="s">
        <v>445</v>
      </c>
      <c r="I72" s="57" t="s">
        <v>446</v>
      </c>
      <c r="J72" s="57" t="s">
        <v>447</v>
      </c>
      <c r="K72" s="57" t="s">
        <v>267</v>
      </c>
      <c r="L72" s="58" t="s">
        <v>311</v>
      </c>
      <c r="M72" s="59">
        <v>46006</v>
      </c>
      <c r="N72" s="60">
        <v>46029</v>
      </c>
    </row>
    <row r="73" spans="2:14" hidden="1" x14ac:dyDescent="0.3">
      <c r="B73" s="56" t="s">
        <v>263</v>
      </c>
      <c r="C73" s="57" t="s">
        <v>440</v>
      </c>
      <c r="D73" s="57" t="s">
        <v>441</v>
      </c>
      <c r="E73" s="57" t="s">
        <v>448</v>
      </c>
      <c r="F73" s="57" t="s">
        <v>448</v>
      </c>
      <c r="G73" t="s">
        <v>448</v>
      </c>
      <c r="H73" t="s">
        <v>448</v>
      </c>
      <c r="I73" s="57" t="s">
        <v>449</v>
      </c>
      <c r="J73" s="57" t="s">
        <v>450</v>
      </c>
      <c r="K73" s="57" t="s">
        <v>267</v>
      </c>
      <c r="L73" s="58" t="s">
        <v>311</v>
      </c>
      <c r="M73" s="59">
        <v>46006</v>
      </c>
      <c r="N73" s="60">
        <v>46029</v>
      </c>
    </row>
    <row r="74" spans="2:14" hidden="1" x14ac:dyDescent="0.3">
      <c r="B74" s="56" t="s">
        <v>263</v>
      </c>
      <c r="C74" s="57" t="s">
        <v>440</v>
      </c>
      <c r="D74" s="57" t="s">
        <v>441</v>
      </c>
      <c r="E74" s="57" t="s">
        <v>451</v>
      </c>
      <c r="F74" s="57" t="s">
        <v>451</v>
      </c>
      <c r="G74" t="s">
        <v>451</v>
      </c>
      <c r="H74" t="s">
        <v>451</v>
      </c>
      <c r="I74" s="57" t="s">
        <v>452</v>
      </c>
      <c r="J74" s="57" t="s">
        <v>453</v>
      </c>
      <c r="K74" s="57" t="s">
        <v>267</v>
      </c>
      <c r="L74" s="58" t="s">
        <v>311</v>
      </c>
      <c r="M74" s="59">
        <v>46006</v>
      </c>
      <c r="N74" s="60">
        <v>46029</v>
      </c>
    </row>
    <row r="75" spans="2:14" hidden="1" x14ac:dyDescent="0.3">
      <c r="B75" s="56" t="s">
        <v>263</v>
      </c>
      <c r="C75" s="57" t="s">
        <v>440</v>
      </c>
      <c r="D75" s="57" t="s">
        <v>441</v>
      </c>
      <c r="E75" s="57" t="s">
        <v>454</v>
      </c>
      <c r="F75" s="57" t="s">
        <v>454</v>
      </c>
      <c r="G75" t="s">
        <v>454</v>
      </c>
      <c r="H75" t="s">
        <v>454</v>
      </c>
      <c r="I75" s="57" t="s">
        <v>455</v>
      </c>
      <c r="J75" s="57" t="s">
        <v>456</v>
      </c>
      <c r="K75" s="57" t="s">
        <v>267</v>
      </c>
      <c r="L75" s="58" t="s">
        <v>311</v>
      </c>
      <c r="M75" s="59">
        <v>46006</v>
      </c>
      <c r="N75" s="60">
        <v>46029</v>
      </c>
    </row>
    <row r="76" spans="2:14" hidden="1" x14ac:dyDescent="0.3">
      <c r="B76" s="56" t="s">
        <v>263</v>
      </c>
      <c r="C76" s="57" t="s">
        <v>440</v>
      </c>
      <c r="D76" s="57" t="s">
        <v>441</v>
      </c>
      <c r="E76" s="57" t="s">
        <v>457</v>
      </c>
      <c r="F76" s="57" t="s">
        <v>457</v>
      </c>
      <c r="G76" t="s">
        <v>457</v>
      </c>
      <c r="H76" t="s">
        <v>457</v>
      </c>
      <c r="I76" s="57" t="s">
        <v>458</v>
      </c>
      <c r="J76" s="57" t="s">
        <v>459</v>
      </c>
      <c r="K76" s="57" t="s">
        <v>267</v>
      </c>
      <c r="L76" s="58" t="s">
        <v>311</v>
      </c>
      <c r="M76" s="59">
        <v>46006</v>
      </c>
      <c r="N76" s="60">
        <v>46029</v>
      </c>
    </row>
    <row r="77" spans="2:14" hidden="1" x14ac:dyDescent="0.3">
      <c r="B77" s="56" t="s">
        <v>263</v>
      </c>
      <c r="C77" s="57" t="s">
        <v>440</v>
      </c>
      <c r="D77" s="57" t="s">
        <v>441</v>
      </c>
      <c r="E77" s="57" t="s">
        <v>460</v>
      </c>
      <c r="F77" s="57" t="s">
        <v>460</v>
      </c>
      <c r="G77" t="s">
        <v>460</v>
      </c>
      <c r="H77" t="s">
        <v>460</v>
      </c>
      <c r="I77" s="57" t="s">
        <v>461</v>
      </c>
      <c r="J77" s="57" t="s">
        <v>462</v>
      </c>
      <c r="K77" s="57" t="s">
        <v>267</v>
      </c>
      <c r="L77" s="58" t="s">
        <v>311</v>
      </c>
      <c r="M77" s="59">
        <v>45973</v>
      </c>
      <c r="N77" s="60">
        <v>45997</v>
      </c>
    </row>
    <row r="78" spans="2:14" hidden="1" x14ac:dyDescent="0.3">
      <c r="B78" s="56" t="s">
        <v>263</v>
      </c>
      <c r="C78" s="57" t="s">
        <v>440</v>
      </c>
      <c r="D78" s="57" t="s">
        <v>441</v>
      </c>
      <c r="E78" s="57" t="s">
        <v>463</v>
      </c>
      <c r="F78" s="57" t="s">
        <v>463</v>
      </c>
      <c r="G78" t="s">
        <v>463</v>
      </c>
      <c r="H78" t="s">
        <v>463</v>
      </c>
      <c r="I78" s="57" t="s">
        <v>464</v>
      </c>
      <c r="J78" s="57" t="s">
        <v>465</v>
      </c>
      <c r="K78" s="57" t="s">
        <v>267</v>
      </c>
      <c r="L78" s="58" t="s">
        <v>311</v>
      </c>
      <c r="M78" s="59">
        <v>45973</v>
      </c>
      <c r="N78" s="60">
        <v>45997</v>
      </c>
    </row>
    <row r="79" spans="2:14" hidden="1" x14ac:dyDescent="0.3">
      <c r="B79" s="56" t="s">
        <v>263</v>
      </c>
      <c r="C79" s="57" t="s">
        <v>440</v>
      </c>
      <c r="D79" s="57" t="s">
        <v>441</v>
      </c>
      <c r="E79" s="57" t="s">
        <v>466</v>
      </c>
      <c r="F79" s="57" t="s">
        <v>466</v>
      </c>
      <c r="G79" t="s">
        <v>466</v>
      </c>
      <c r="H79" t="s">
        <v>466</v>
      </c>
      <c r="I79" s="57" t="s">
        <v>467</v>
      </c>
      <c r="J79" s="57" t="s">
        <v>468</v>
      </c>
      <c r="K79" s="57" t="s">
        <v>267</v>
      </c>
      <c r="L79" s="58" t="s">
        <v>311</v>
      </c>
      <c r="M79" s="59">
        <v>46006</v>
      </c>
      <c r="N79" s="60">
        <v>46029</v>
      </c>
    </row>
    <row r="80" spans="2:14" hidden="1" x14ac:dyDescent="0.3">
      <c r="B80" s="56" t="s">
        <v>263</v>
      </c>
      <c r="C80" s="57" t="s">
        <v>440</v>
      </c>
      <c r="D80" s="57" t="s">
        <v>469</v>
      </c>
      <c r="E80" s="57" t="s">
        <v>445</v>
      </c>
      <c r="F80" s="57" t="s">
        <v>445</v>
      </c>
      <c r="G80" t="s">
        <v>445</v>
      </c>
      <c r="H80" t="s">
        <v>445</v>
      </c>
      <c r="I80" s="57" t="s">
        <v>470</v>
      </c>
      <c r="J80" s="57" t="s">
        <v>471</v>
      </c>
      <c r="K80" s="57" t="s">
        <v>267</v>
      </c>
      <c r="L80" s="58" t="s">
        <v>311</v>
      </c>
      <c r="M80" s="59">
        <v>46030</v>
      </c>
      <c r="N80" s="60">
        <v>46054</v>
      </c>
    </row>
    <row r="81" spans="2:14" hidden="1" x14ac:dyDescent="0.3">
      <c r="B81" s="56" t="s">
        <v>263</v>
      </c>
      <c r="C81" s="57" t="s">
        <v>440</v>
      </c>
      <c r="D81" s="57" t="s">
        <v>469</v>
      </c>
      <c r="E81" s="57" t="s">
        <v>448</v>
      </c>
      <c r="F81" s="57" t="s">
        <v>448</v>
      </c>
      <c r="G81" t="s">
        <v>448</v>
      </c>
      <c r="H81" t="s">
        <v>448</v>
      </c>
      <c r="I81" s="57" t="s">
        <v>472</v>
      </c>
      <c r="J81" s="57" t="s">
        <v>473</v>
      </c>
      <c r="K81" s="57" t="s">
        <v>267</v>
      </c>
      <c r="L81" s="58" t="s">
        <v>311</v>
      </c>
      <c r="M81" s="59">
        <v>46030</v>
      </c>
      <c r="N81" s="60">
        <v>46054</v>
      </c>
    </row>
    <row r="82" spans="2:14" hidden="1" x14ac:dyDescent="0.3">
      <c r="B82" s="56" t="s">
        <v>263</v>
      </c>
      <c r="C82" s="57" t="s">
        <v>440</v>
      </c>
      <c r="D82" s="57" t="s">
        <v>469</v>
      </c>
      <c r="E82" s="57" t="s">
        <v>451</v>
      </c>
      <c r="F82" s="57" t="s">
        <v>451</v>
      </c>
      <c r="G82" t="s">
        <v>451</v>
      </c>
      <c r="H82" t="s">
        <v>451</v>
      </c>
      <c r="I82" s="57" t="s">
        <v>474</v>
      </c>
      <c r="J82" s="57" t="s">
        <v>475</v>
      </c>
      <c r="K82" s="57" t="s">
        <v>267</v>
      </c>
      <c r="L82" s="58" t="s">
        <v>311</v>
      </c>
      <c r="M82" s="59">
        <v>46030</v>
      </c>
      <c r="N82" s="60">
        <v>46054</v>
      </c>
    </row>
    <row r="83" spans="2:14" hidden="1" x14ac:dyDescent="0.3">
      <c r="B83" s="56" t="s">
        <v>263</v>
      </c>
      <c r="C83" s="57" t="s">
        <v>440</v>
      </c>
      <c r="D83" s="57" t="s">
        <v>469</v>
      </c>
      <c r="E83" s="57" t="s">
        <v>454</v>
      </c>
      <c r="F83" s="57" t="s">
        <v>454</v>
      </c>
      <c r="G83" t="s">
        <v>454</v>
      </c>
      <c r="H83" t="s">
        <v>454</v>
      </c>
      <c r="I83" s="57" t="s">
        <v>476</v>
      </c>
      <c r="J83" s="57" t="s">
        <v>477</v>
      </c>
      <c r="K83" s="57" t="s">
        <v>267</v>
      </c>
      <c r="L83" s="58" t="s">
        <v>311</v>
      </c>
      <c r="M83" s="59">
        <v>46030</v>
      </c>
      <c r="N83" s="60">
        <v>46054</v>
      </c>
    </row>
    <row r="84" spans="2:14" hidden="1" x14ac:dyDescent="0.3">
      <c r="B84" s="56" t="s">
        <v>263</v>
      </c>
      <c r="C84" s="57" t="s">
        <v>440</v>
      </c>
      <c r="D84" s="57" t="s">
        <v>469</v>
      </c>
      <c r="E84" s="57" t="s">
        <v>457</v>
      </c>
      <c r="F84" s="57" t="s">
        <v>457</v>
      </c>
      <c r="G84" t="s">
        <v>457</v>
      </c>
      <c r="H84" t="s">
        <v>457</v>
      </c>
      <c r="I84" s="57" t="s">
        <v>478</v>
      </c>
      <c r="J84" s="57" t="s">
        <v>479</v>
      </c>
      <c r="K84" s="57" t="s">
        <v>267</v>
      </c>
      <c r="L84" s="58" t="s">
        <v>311</v>
      </c>
      <c r="M84" s="59">
        <v>46030</v>
      </c>
      <c r="N84" s="60">
        <v>46054</v>
      </c>
    </row>
    <row r="85" spans="2:14" hidden="1" x14ac:dyDescent="0.3">
      <c r="B85" s="56" t="s">
        <v>263</v>
      </c>
      <c r="C85" s="57" t="s">
        <v>440</v>
      </c>
      <c r="D85" s="57" t="s">
        <v>469</v>
      </c>
      <c r="E85" s="57" t="s">
        <v>480</v>
      </c>
      <c r="F85" s="57" t="s">
        <v>480</v>
      </c>
      <c r="G85" t="s">
        <v>480</v>
      </c>
      <c r="H85" t="s">
        <v>480</v>
      </c>
      <c r="I85" s="57" t="s">
        <v>481</v>
      </c>
      <c r="J85" s="57" t="s">
        <v>482</v>
      </c>
      <c r="K85" s="57" t="s">
        <v>267</v>
      </c>
      <c r="L85" s="58" t="s">
        <v>311</v>
      </c>
      <c r="M85" s="59">
        <v>45998</v>
      </c>
      <c r="N85" s="60">
        <v>46021</v>
      </c>
    </row>
    <row r="86" spans="2:14" hidden="1" x14ac:dyDescent="0.3">
      <c r="B86" s="56" t="s">
        <v>263</v>
      </c>
      <c r="C86" s="57" t="s">
        <v>440</v>
      </c>
      <c r="D86" s="57" t="s">
        <v>469</v>
      </c>
      <c r="E86" s="57" t="s">
        <v>483</v>
      </c>
      <c r="F86" s="57" t="s">
        <v>483</v>
      </c>
      <c r="G86" t="s">
        <v>483</v>
      </c>
      <c r="H86" t="s">
        <v>483</v>
      </c>
      <c r="I86" s="57" t="s">
        <v>484</v>
      </c>
      <c r="J86" s="57" t="s">
        <v>485</v>
      </c>
      <c r="K86" s="57" t="s">
        <v>267</v>
      </c>
      <c r="L86" s="58" t="s">
        <v>311</v>
      </c>
      <c r="M86" s="59">
        <v>46030</v>
      </c>
      <c r="N86" s="60">
        <v>46054</v>
      </c>
    </row>
    <row r="87" spans="2:14" hidden="1" x14ac:dyDescent="0.3">
      <c r="B87" s="56" t="s">
        <v>263</v>
      </c>
      <c r="C87" s="57" t="s">
        <v>440</v>
      </c>
      <c r="D87" s="57" t="s">
        <v>486</v>
      </c>
      <c r="E87" s="57" t="s">
        <v>487</v>
      </c>
      <c r="F87" s="57" t="s">
        <v>487</v>
      </c>
      <c r="G87" t="s">
        <v>487</v>
      </c>
      <c r="H87" t="s">
        <v>487</v>
      </c>
      <c r="I87" s="57" t="s">
        <v>488</v>
      </c>
      <c r="J87" s="57" t="s">
        <v>489</v>
      </c>
      <c r="K87" s="57" t="s">
        <v>267</v>
      </c>
      <c r="L87" s="58" t="s">
        <v>307</v>
      </c>
      <c r="M87" s="59">
        <v>46044</v>
      </c>
      <c r="N87" s="60">
        <v>46077</v>
      </c>
    </row>
    <row r="88" spans="2:14" hidden="1" x14ac:dyDescent="0.3">
      <c r="B88" s="56" t="s">
        <v>263</v>
      </c>
      <c r="C88" s="57" t="s">
        <v>440</v>
      </c>
      <c r="D88" s="57" t="s">
        <v>486</v>
      </c>
      <c r="E88" s="57" t="s">
        <v>445</v>
      </c>
      <c r="F88" s="57" t="s">
        <v>445</v>
      </c>
      <c r="G88" t="s">
        <v>445</v>
      </c>
      <c r="H88" t="s">
        <v>445</v>
      </c>
      <c r="I88" s="57" t="s">
        <v>490</v>
      </c>
      <c r="J88" s="57" t="s">
        <v>491</v>
      </c>
      <c r="K88" s="57" t="s">
        <v>267</v>
      </c>
      <c r="L88" s="58" t="s">
        <v>307</v>
      </c>
      <c r="M88" s="59">
        <v>46055</v>
      </c>
      <c r="N88" s="60">
        <v>46088</v>
      </c>
    </row>
    <row r="89" spans="2:14" hidden="1" x14ac:dyDescent="0.3">
      <c r="B89" s="56" t="s">
        <v>263</v>
      </c>
      <c r="C89" s="57" t="s">
        <v>440</v>
      </c>
      <c r="D89" s="57" t="s">
        <v>486</v>
      </c>
      <c r="E89" s="57" t="s">
        <v>448</v>
      </c>
      <c r="F89" s="57" t="s">
        <v>448</v>
      </c>
      <c r="G89" t="s">
        <v>448</v>
      </c>
      <c r="H89" t="s">
        <v>448</v>
      </c>
      <c r="I89" s="57" t="s">
        <v>492</v>
      </c>
      <c r="J89" s="57" t="s">
        <v>493</v>
      </c>
      <c r="K89" s="57" t="s">
        <v>267</v>
      </c>
      <c r="L89" s="58" t="s">
        <v>307</v>
      </c>
      <c r="M89" s="59">
        <v>46055</v>
      </c>
      <c r="N89" s="60">
        <v>46088</v>
      </c>
    </row>
    <row r="90" spans="2:14" hidden="1" x14ac:dyDescent="0.3">
      <c r="B90" s="56" t="s">
        <v>263</v>
      </c>
      <c r="C90" s="57" t="s">
        <v>440</v>
      </c>
      <c r="D90" s="57" t="s">
        <v>486</v>
      </c>
      <c r="E90" s="57" t="s">
        <v>451</v>
      </c>
      <c r="F90" s="57" t="s">
        <v>451</v>
      </c>
      <c r="G90" t="s">
        <v>451</v>
      </c>
      <c r="H90" t="s">
        <v>451</v>
      </c>
      <c r="I90" s="57" t="s">
        <v>494</v>
      </c>
      <c r="J90" s="57" t="s">
        <v>495</v>
      </c>
      <c r="K90" s="57" t="s">
        <v>267</v>
      </c>
      <c r="L90" s="58" t="s">
        <v>307</v>
      </c>
      <c r="M90" s="59">
        <v>46055</v>
      </c>
      <c r="N90" s="60">
        <v>46088</v>
      </c>
    </row>
    <row r="91" spans="2:14" hidden="1" x14ac:dyDescent="0.3">
      <c r="B91" s="56" t="s">
        <v>263</v>
      </c>
      <c r="C91" s="57" t="s">
        <v>440</v>
      </c>
      <c r="D91" s="57" t="s">
        <v>486</v>
      </c>
      <c r="E91" s="57" t="s">
        <v>454</v>
      </c>
      <c r="F91" s="57" t="s">
        <v>454</v>
      </c>
      <c r="G91" t="s">
        <v>454</v>
      </c>
      <c r="H91" t="s">
        <v>454</v>
      </c>
      <c r="I91" s="57" t="s">
        <v>496</v>
      </c>
      <c r="J91" s="57" t="s">
        <v>497</v>
      </c>
      <c r="K91" s="57" t="s">
        <v>267</v>
      </c>
      <c r="L91" s="58" t="s">
        <v>307</v>
      </c>
      <c r="M91" s="59">
        <v>46055</v>
      </c>
      <c r="N91" s="60">
        <v>46088</v>
      </c>
    </row>
    <row r="92" spans="2:14" hidden="1" x14ac:dyDescent="0.3">
      <c r="B92" s="56" t="s">
        <v>263</v>
      </c>
      <c r="C92" s="57" t="s">
        <v>440</v>
      </c>
      <c r="D92" s="57" t="s">
        <v>486</v>
      </c>
      <c r="E92" s="57" t="s">
        <v>457</v>
      </c>
      <c r="F92" s="57" t="s">
        <v>457</v>
      </c>
      <c r="G92" t="s">
        <v>457</v>
      </c>
      <c r="H92" t="s">
        <v>457</v>
      </c>
      <c r="I92" s="57" t="s">
        <v>498</v>
      </c>
      <c r="J92" s="57" t="s">
        <v>499</v>
      </c>
      <c r="K92" s="57" t="s">
        <v>267</v>
      </c>
      <c r="L92" s="58" t="s">
        <v>307</v>
      </c>
      <c r="M92" s="59">
        <v>46055</v>
      </c>
      <c r="N92" s="60">
        <v>46088</v>
      </c>
    </row>
    <row r="93" spans="2:14" hidden="1" x14ac:dyDescent="0.3">
      <c r="B93" s="56" t="s">
        <v>263</v>
      </c>
      <c r="C93" s="57" t="s">
        <v>440</v>
      </c>
      <c r="D93" s="57" t="s">
        <v>500</v>
      </c>
      <c r="E93" s="57" t="s">
        <v>501</v>
      </c>
      <c r="F93" s="57" t="s">
        <v>501</v>
      </c>
      <c r="G93" t="s">
        <v>501</v>
      </c>
      <c r="H93" t="s">
        <v>501</v>
      </c>
      <c r="I93" s="57" t="s">
        <v>502</v>
      </c>
      <c r="J93" s="57" t="s">
        <v>503</v>
      </c>
      <c r="K93" s="57" t="s">
        <v>267</v>
      </c>
      <c r="L93" s="58" t="s">
        <v>307</v>
      </c>
      <c r="M93" s="59">
        <v>46089</v>
      </c>
      <c r="N93" s="60">
        <v>46123</v>
      </c>
    </row>
    <row r="94" spans="2:14" hidden="1" x14ac:dyDescent="0.3">
      <c r="B94" s="56" t="s">
        <v>263</v>
      </c>
      <c r="C94" s="57" t="s">
        <v>440</v>
      </c>
      <c r="D94" s="57" t="s">
        <v>500</v>
      </c>
      <c r="E94" s="57" t="s">
        <v>504</v>
      </c>
      <c r="F94" s="57" t="s">
        <v>504</v>
      </c>
      <c r="G94" t="s">
        <v>504</v>
      </c>
      <c r="H94" t="s">
        <v>504</v>
      </c>
      <c r="I94" s="57" t="s">
        <v>505</v>
      </c>
      <c r="J94" s="57" t="s">
        <v>506</v>
      </c>
      <c r="K94" s="57" t="s">
        <v>267</v>
      </c>
      <c r="L94" s="58" t="s">
        <v>307</v>
      </c>
      <c r="M94" s="59">
        <v>46089</v>
      </c>
      <c r="N94" s="60">
        <v>46123</v>
      </c>
    </row>
    <row r="95" spans="2:14" hidden="1" x14ac:dyDescent="0.3">
      <c r="B95" s="56" t="s">
        <v>263</v>
      </c>
      <c r="C95" s="57" t="s">
        <v>440</v>
      </c>
      <c r="D95" s="57" t="s">
        <v>507</v>
      </c>
      <c r="E95" s="57" t="s">
        <v>508</v>
      </c>
      <c r="F95" s="57" t="s">
        <v>508</v>
      </c>
      <c r="G95" t="s">
        <v>508</v>
      </c>
      <c r="H95" t="s">
        <v>508</v>
      </c>
      <c r="I95" s="57" t="s">
        <v>509</v>
      </c>
      <c r="J95" s="57" t="s">
        <v>510</v>
      </c>
      <c r="K95" s="57" t="s">
        <v>267</v>
      </c>
      <c r="L95" s="58" t="s">
        <v>307</v>
      </c>
      <c r="M95" s="59">
        <v>46124</v>
      </c>
      <c r="N95" s="60">
        <v>46155</v>
      </c>
    </row>
    <row r="96" spans="2:14" hidden="1" x14ac:dyDescent="0.3">
      <c r="B96" s="56" t="s">
        <v>263</v>
      </c>
      <c r="C96" s="57" t="s">
        <v>440</v>
      </c>
      <c r="D96" s="57" t="s">
        <v>507</v>
      </c>
      <c r="E96" s="57" t="s">
        <v>511</v>
      </c>
      <c r="F96" s="57" t="s">
        <v>511</v>
      </c>
      <c r="G96" t="s">
        <v>511</v>
      </c>
      <c r="H96" t="s">
        <v>511</v>
      </c>
      <c r="I96" s="57" t="s">
        <v>512</v>
      </c>
      <c r="J96" s="57" t="s">
        <v>513</v>
      </c>
      <c r="K96" s="57" t="s">
        <v>267</v>
      </c>
      <c r="L96" s="58" t="s">
        <v>307</v>
      </c>
      <c r="M96" s="59">
        <v>46124</v>
      </c>
      <c r="N96" s="60">
        <v>46155</v>
      </c>
    </row>
    <row r="97" spans="2:14" hidden="1" x14ac:dyDescent="0.3">
      <c r="B97" s="56" t="s">
        <v>263</v>
      </c>
      <c r="C97" s="57" t="s">
        <v>440</v>
      </c>
      <c r="D97" s="57" t="s">
        <v>507</v>
      </c>
      <c r="E97" s="57" t="s">
        <v>501</v>
      </c>
      <c r="F97" s="57" t="s">
        <v>501</v>
      </c>
      <c r="G97" t="s">
        <v>501</v>
      </c>
      <c r="H97" t="s">
        <v>501</v>
      </c>
      <c r="I97" s="57" t="s">
        <v>514</v>
      </c>
      <c r="J97" s="57" t="s">
        <v>515</v>
      </c>
      <c r="K97" s="57" t="s">
        <v>267</v>
      </c>
      <c r="L97" s="58" t="s">
        <v>307</v>
      </c>
      <c r="M97" s="59">
        <v>46124</v>
      </c>
      <c r="N97" s="60">
        <v>46155</v>
      </c>
    </row>
    <row r="98" spans="2:14" hidden="1" x14ac:dyDescent="0.3">
      <c r="B98" s="56" t="s">
        <v>263</v>
      </c>
      <c r="C98" s="57" t="s">
        <v>440</v>
      </c>
      <c r="D98" s="57" t="s">
        <v>507</v>
      </c>
      <c r="E98" s="57" t="s">
        <v>516</v>
      </c>
      <c r="F98" s="57" t="s">
        <v>516</v>
      </c>
      <c r="G98" t="s">
        <v>516</v>
      </c>
      <c r="H98" t="s">
        <v>516</v>
      </c>
      <c r="I98" s="57" t="s">
        <v>517</v>
      </c>
      <c r="J98" s="57" t="s">
        <v>518</v>
      </c>
      <c r="K98" s="57" t="s">
        <v>267</v>
      </c>
      <c r="L98" s="58" t="s">
        <v>307</v>
      </c>
      <c r="M98" s="59">
        <v>46124</v>
      </c>
      <c r="N98" s="60">
        <v>46155</v>
      </c>
    </row>
    <row r="99" spans="2:14" hidden="1" x14ac:dyDescent="0.3">
      <c r="B99" s="56" t="s">
        <v>263</v>
      </c>
      <c r="C99" s="57" t="s">
        <v>440</v>
      </c>
      <c r="D99" s="57" t="s">
        <v>519</v>
      </c>
      <c r="E99" s="57" t="s">
        <v>520</v>
      </c>
      <c r="F99" s="57" t="s">
        <v>520</v>
      </c>
      <c r="G99" t="s">
        <v>520</v>
      </c>
      <c r="H99" t="s">
        <v>520</v>
      </c>
      <c r="I99" s="57" t="s">
        <v>521</v>
      </c>
      <c r="J99" s="57" t="s">
        <v>522</v>
      </c>
      <c r="K99" s="57" t="s">
        <v>267</v>
      </c>
      <c r="L99" s="58" t="s">
        <v>307</v>
      </c>
      <c r="M99" s="59">
        <v>46156</v>
      </c>
      <c r="N99" s="60">
        <v>46191</v>
      </c>
    </row>
    <row r="100" spans="2:14" hidden="1" x14ac:dyDescent="0.3">
      <c r="B100" s="56" t="s">
        <v>263</v>
      </c>
      <c r="C100" s="57" t="s">
        <v>440</v>
      </c>
      <c r="D100" s="57" t="s">
        <v>519</v>
      </c>
      <c r="E100" s="57" t="s">
        <v>523</v>
      </c>
      <c r="F100" s="57" t="s">
        <v>523</v>
      </c>
      <c r="G100" t="s">
        <v>523</v>
      </c>
      <c r="H100" t="s">
        <v>523</v>
      </c>
      <c r="I100" s="57" t="s">
        <v>524</v>
      </c>
      <c r="J100" s="57" t="s">
        <v>525</v>
      </c>
      <c r="K100" s="57" t="s">
        <v>267</v>
      </c>
      <c r="L100" s="58" t="s">
        <v>307</v>
      </c>
      <c r="M100" s="59">
        <v>46156</v>
      </c>
      <c r="N100" s="60">
        <v>46191</v>
      </c>
    </row>
    <row r="101" spans="2:14" hidden="1" x14ac:dyDescent="0.3">
      <c r="B101" s="56" t="s">
        <v>263</v>
      </c>
      <c r="C101" s="57" t="s">
        <v>440</v>
      </c>
      <c r="D101" s="57" t="s">
        <v>526</v>
      </c>
      <c r="E101" s="57" t="s">
        <v>527</v>
      </c>
      <c r="F101" s="57" t="s">
        <v>527</v>
      </c>
      <c r="G101" t="s">
        <v>527</v>
      </c>
      <c r="H101" t="s">
        <v>527</v>
      </c>
      <c r="I101" s="57" t="s">
        <v>528</v>
      </c>
      <c r="J101" s="57" t="s">
        <v>529</v>
      </c>
      <c r="K101" s="57" t="s">
        <v>267</v>
      </c>
      <c r="L101" s="58" t="s">
        <v>307</v>
      </c>
      <c r="M101" s="59">
        <v>46193</v>
      </c>
      <c r="N101" s="60">
        <v>46224</v>
      </c>
    </row>
    <row r="102" spans="2:14" hidden="1" x14ac:dyDescent="0.3">
      <c r="B102" s="56" t="s">
        <v>263</v>
      </c>
      <c r="C102" s="57" t="s">
        <v>440</v>
      </c>
      <c r="D102" s="57" t="s">
        <v>526</v>
      </c>
      <c r="E102" s="57" t="s">
        <v>520</v>
      </c>
      <c r="F102" s="57" t="s">
        <v>520</v>
      </c>
      <c r="G102" t="s">
        <v>520</v>
      </c>
      <c r="H102" t="s">
        <v>520</v>
      </c>
      <c r="I102" s="57" t="s">
        <v>530</v>
      </c>
      <c r="J102" s="57" t="s">
        <v>531</v>
      </c>
      <c r="K102" s="57" t="s">
        <v>267</v>
      </c>
      <c r="L102" s="58" t="s">
        <v>307</v>
      </c>
      <c r="M102" s="59">
        <v>46193</v>
      </c>
      <c r="N102" s="60">
        <v>46224</v>
      </c>
    </row>
    <row r="103" spans="2:14" hidden="1" x14ac:dyDescent="0.3">
      <c r="B103" s="56" t="s">
        <v>263</v>
      </c>
      <c r="C103" s="57" t="s">
        <v>440</v>
      </c>
      <c r="D103" s="57" t="s">
        <v>532</v>
      </c>
      <c r="E103" s="57" t="s">
        <v>533</v>
      </c>
      <c r="F103" s="57" t="s">
        <v>533</v>
      </c>
      <c r="G103" t="s">
        <v>533</v>
      </c>
      <c r="H103" t="s">
        <v>533</v>
      </c>
      <c r="I103" s="57" t="s">
        <v>534</v>
      </c>
      <c r="J103" s="57" t="s">
        <v>535</v>
      </c>
      <c r="K103" s="57" t="s">
        <v>267</v>
      </c>
      <c r="L103" s="58" t="s">
        <v>307</v>
      </c>
      <c r="M103" s="59">
        <v>46225</v>
      </c>
      <c r="N103" s="60">
        <v>46257</v>
      </c>
    </row>
    <row r="104" spans="2:14" hidden="1" x14ac:dyDescent="0.3">
      <c r="B104" s="56" t="s">
        <v>263</v>
      </c>
      <c r="C104" s="57" t="s">
        <v>440</v>
      </c>
      <c r="D104" s="57" t="s">
        <v>532</v>
      </c>
      <c r="E104" s="57" t="s">
        <v>536</v>
      </c>
      <c r="F104" s="57" t="s">
        <v>536</v>
      </c>
      <c r="G104" t="s">
        <v>536</v>
      </c>
      <c r="H104" t="s">
        <v>536</v>
      </c>
      <c r="I104" s="57" t="s">
        <v>537</v>
      </c>
      <c r="J104" s="57" t="s">
        <v>538</v>
      </c>
      <c r="K104" s="57" t="s">
        <v>267</v>
      </c>
      <c r="L104" s="58" t="s">
        <v>307</v>
      </c>
      <c r="M104" s="59">
        <v>46225</v>
      </c>
      <c r="N104" s="60">
        <v>46257</v>
      </c>
    </row>
    <row r="105" spans="2:14" hidden="1" x14ac:dyDescent="0.3">
      <c r="B105" s="56" t="s">
        <v>263</v>
      </c>
      <c r="C105" s="57" t="s">
        <v>440</v>
      </c>
      <c r="D105" s="57" t="s">
        <v>539</v>
      </c>
      <c r="E105" s="57" t="s">
        <v>540</v>
      </c>
      <c r="F105" s="57" t="s">
        <v>540</v>
      </c>
      <c r="G105" t="s">
        <v>540</v>
      </c>
      <c r="H105" t="s">
        <v>540</v>
      </c>
      <c r="I105" s="57" t="s">
        <v>541</v>
      </c>
      <c r="J105" s="57" t="s">
        <v>542</v>
      </c>
      <c r="K105" s="57" t="s">
        <v>267</v>
      </c>
      <c r="L105" s="58" t="s">
        <v>307</v>
      </c>
      <c r="M105" s="59">
        <v>46258</v>
      </c>
      <c r="N105" s="60">
        <v>46291</v>
      </c>
    </row>
    <row r="106" spans="2:14" hidden="1" x14ac:dyDescent="0.3">
      <c r="B106" s="56" t="s">
        <v>263</v>
      </c>
      <c r="C106" s="57" t="s">
        <v>440</v>
      </c>
      <c r="D106" s="57" t="s">
        <v>539</v>
      </c>
      <c r="E106" s="57" t="s">
        <v>543</v>
      </c>
      <c r="F106" s="57" t="s">
        <v>543</v>
      </c>
      <c r="G106" t="s">
        <v>543</v>
      </c>
      <c r="H106" t="s">
        <v>543</v>
      </c>
      <c r="I106" s="57" t="s">
        <v>544</v>
      </c>
      <c r="J106" s="57" t="s">
        <v>545</v>
      </c>
      <c r="K106" s="57" t="s">
        <v>267</v>
      </c>
      <c r="L106" s="58" t="s">
        <v>307</v>
      </c>
      <c r="M106" s="59">
        <v>46258</v>
      </c>
      <c r="N106" s="60">
        <v>46291</v>
      </c>
    </row>
    <row r="107" spans="2:14" hidden="1" x14ac:dyDescent="0.3">
      <c r="B107" s="56" t="s">
        <v>263</v>
      </c>
      <c r="C107" s="57" t="s">
        <v>440</v>
      </c>
      <c r="D107" s="57" t="s">
        <v>539</v>
      </c>
      <c r="E107" s="57" t="s">
        <v>546</v>
      </c>
      <c r="F107" s="57" t="s">
        <v>546</v>
      </c>
      <c r="G107" t="s">
        <v>546</v>
      </c>
      <c r="H107" t="s">
        <v>546</v>
      </c>
      <c r="I107" s="57" t="s">
        <v>547</v>
      </c>
      <c r="J107" s="57" t="s">
        <v>548</v>
      </c>
      <c r="K107" s="57" t="s">
        <v>267</v>
      </c>
      <c r="L107" s="58" t="s">
        <v>307</v>
      </c>
      <c r="M107" s="59">
        <v>46258</v>
      </c>
      <c r="N107" s="60">
        <v>46291</v>
      </c>
    </row>
    <row r="108" spans="2:14" hidden="1" x14ac:dyDescent="0.3">
      <c r="B108" s="56" t="s">
        <v>263</v>
      </c>
      <c r="C108" s="57" t="s">
        <v>440</v>
      </c>
      <c r="D108" s="57" t="s">
        <v>539</v>
      </c>
      <c r="E108" s="57" t="s">
        <v>536</v>
      </c>
      <c r="F108" s="57" t="s">
        <v>536</v>
      </c>
      <c r="G108" t="s">
        <v>536</v>
      </c>
      <c r="H108" t="s">
        <v>536</v>
      </c>
      <c r="I108" s="57" t="s">
        <v>549</v>
      </c>
      <c r="J108" s="57" t="s">
        <v>550</v>
      </c>
      <c r="K108" s="57" t="s">
        <v>267</v>
      </c>
      <c r="L108" s="58" t="s">
        <v>307</v>
      </c>
      <c r="M108" s="59">
        <v>46292</v>
      </c>
      <c r="N108" s="60">
        <v>46323</v>
      </c>
    </row>
    <row r="109" spans="2:14" hidden="1" x14ac:dyDescent="0.3">
      <c r="B109" s="56" t="s">
        <v>263</v>
      </c>
      <c r="C109" s="57" t="s">
        <v>440</v>
      </c>
      <c r="D109" s="57" t="s">
        <v>551</v>
      </c>
      <c r="E109" s="57" t="s">
        <v>552</v>
      </c>
      <c r="F109" s="57" t="s">
        <v>552</v>
      </c>
      <c r="G109" t="s">
        <v>552</v>
      </c>
      <c r="H109" t="s">
        <v>552</v>
      </c>
      <c r="I109" s="57" t="s">
        <v>553</v>
      </c>
      <c r="J109" s="57" t="s">
        <v>554</v>
      </c>
      <c r="K109" s="57" t="s">
        <v>267</v>
      </c>
      <c r="L109" s="58" t="s">
        <v>307</v>
      </c>
      <c r="M109" s="59">
        <v>46324</v>
      </c>
      <c r="N109" s="60">
        <v>46356</v>
      </c>
    </row>
    <row r="110" spans="2:14" hidden="1" x14ac:dyDescent="0.3">
      <c r="B110" s="56" t="s">
        <v>263</v>
      </c>
      <c r="C110" s="57" t="s">
        <v>555</v>
      </c>
      <c r="D110" s="57" t="s">
        <v>283</v>
      </c>
      <c r="E110" s="57" t="s">
        <v>556</v>
      </c>
      <c r="F110" s="57" t="s">
        <v>557</v>
      </c>
      <c r="G110" t="s">
        <v>557</v>
      </c>
      <c r="H110" t="s">
        <v>557</v>
      </c>
      <c r="I110" s="57" t="s">
        <v>558</v>
      </c>
      <c r="J110" s="57" t="s">
        <v>559</v>
      </c>
      <c r="K110" s="57" t="s">
        <v>267</v>
      </c>
      <c r="L110" s="58" t="s">
        <v>311</v>
      </c>
      <c r="M110" s="59">
        <v>46110</v>
      </c>
      <c r="N110" s="60">
        <v>46133</v>
      </c>
    </row>
    <row r="111" spans="2:14" hidden="1" x14ac:dyDescent="0.3">
      <c r="B111" s="56" t="s">
        <v>263</v>
      </c>
      <c r="C111" s="57" t="s">
        <v>555</v>
      </c>
      <c r="D111" s="57" t="s">
        <v>283</v>
      </c>
      <c r="E111" s="57" t="s">
        <v>556</v>
      </c>
      <c r="F111" s="57" t="s">
        <v>560</v>
      </c>
      <c r="G111" t="s">
        <v>560</v>
      </c>
      <c r="H111" t="s">
        <v>560</v>
      </c>
      <c r="I111" s="57" t="s">
        <v>561</v>
      </c>
      <c r="J111" s="57" t="s">
        <v>562</v>
      </c>
      <c r="K111" s="57" t="s">
        <v>267</v>
      </c>
      <c r="L111" s="58" t="s">
        <v>311</v>
      </c>
      <c r="M111" s="59">
        <v>46249</v>
      </c>
      <c r="N111" s="60">
        <v>46272</v>
      </c>
    </row>
    <row r="112" spans="2:14" hidden="1" x14ac:dyDescent="0.3">
      <c r="B112" s="56" t="s">
        <v>263</v>
      </c>
      <c r="C112" s="57" t="s">
        <v>555</v>
      </c>
      <c r="D112" s="57" t="s">
        <v>283</v>
      </c>
      <c r="E112" s="57" t="s">
        <v>556</v>
      </c>
      <c r="F112" s="57" t="s">
        <v>563</v>
      </c>
      <c r="G112" t="s">
        <v>563</v>
      </c>
      <c r="H112" t="s">
        <v>563</v>
      </c>
      <c r="I112" s="57" t="s">
        <v>564</v>
      </c>
      <c r="J112" s="57" t="s">
        <v>565</v>
      </c>
      <c r="K112" s="57" t="s">
        <v>267</v>
      </c>
      <c r="L112" s="58" t="s">
        <v>311</v>
      </c>
      <c r="M112" s="59">
        <v>46343</v>
      </c>
      <c r="N112" s="60">
        <v>46366</v>
      </c>
    </row>
    <row r="113" spans="2:14" hidden="1" x14ac:dyDescent="0.3">
      <c r="B113" s="56" t="s">
        <v>263</v>
      </c>
      <c r="C113" s="57" t="s">
        <v>555</v>
      </c>
      <c r="D113" s="57" t="s">
        <v>283</v>
      </c>
      <c r="E113" s="57" t="s">
        <v>556</v>
      </c>
      <c r="F113" s="57" t="s">
        <v>566</v>
      </c>
      <c r="G113" t="s">
        <v>566</v>
      </c>
      <c r="H113" t="s">
        <v>566</v>
      </c>
      <c r="I113" s="57" t="s">
        <v>567</v>
      </c>
      <c r="J113" s="57" t="s">
        <v>568</v>
      </c>
      <c r="K113" s="57" t="s">
        <v>267</v>
      </c>
      <c r="L113" s="58" t="s">
        <v>311</v>
      </c>
      <c r="M113" s="59">
        <v>46343</v>
      </c>
      <c r="N113" s="60">
        <v>46366</v>
      </c>
    </row>
    <row r="114" spans="2:14" hidden="1" x14ac:dyDescent="0.3">
      <c r="B114" s="56" t="s">
        <v>263</v>
      </c>
      <c r="C114" s="57" t="s">
        <v>555</v>
      </c>
      <c r="D114" s="57" t="s">
        <v>283</v>
      </c>
      <c r="E114" s="57" t="s">
        <v>556</v>
      </c>
      <c r="F114" s="57" t="s">
        <v>569</v>
      </c>
      <c r="G114" t="s">
        <v>569</v>
      </c>
      <c r="H114" t="s">
        <v>569</v>
      </c>
      <c r="I114" s="57" t="s">
        <v>570</v>
      </c>
      <c r="J114" s="57" t="s">
        <v>571</v>
      </c>
      <c r="K114" s="57" t="s">
        <v>267</v>
      </c>
      <c r="L114" s="58" t="s">
        <v>311</v>
      </c>
      <c r="M114" s="59">
        <v>46343</v>
      </c>
      <c r="N114" s="60">
        <v>46366</v>
      </c>
    </row>
    <row r="115" spans="2:14" hidden="1" x14ac:dyDescent="0.3">
      <c r="B115" s="56" t="s">
        <v>263</v>
      </c>
      <c r="C115" s="57" t="s">
        <v>555</v>
      </c>
      <c r="D115" s="57" t="s">
        <v>283</v>
      </c>
      <c r="E115" s="57" t="s">
        <v>572</v>
      </c>
      <c r="F115" s="57" t="s">
        <v>557</v>
      </c>
      <c r="G115" t="s">
        <v>557</v>
      </c>
      <c r="H115" t="s">
        <v>557</v>
      </c>
      <c r="I115" s="57" t="s">
        <v>573</v>
      </c>
      <c r="J115" s="57" t="s">
        <v>574</v>
      </c>
      <c r="K115" s="57" t="s">
        <v>267</v>
      </c>
      <c r="L115" s="58" t="s">
        <v>311</v>
      </c>
      <c r="M115" s="59">
        <v>46134</v>
      </c>
      <c r="N115" s="60">
        <v>46158</v>
      </c>
    </row>
    <row r="116" spans="2:14" hidden="1" x14ac:dyDescent="0.3">
      <c r="B116" s="56" t="s">
        <v>263</v>
      </c>
      <c r="C116" s="57" t="s">
        <v>555</v>
      </c>
      <c r="D116" s="57" t="s">
        <v>283</v>
      </c>
      <c r="E116" s="57" t="s">
        <v>572</v>
      </c>
      <c r="F116" s="57" t="s">
        <v>560</v>
      </c>
      <c r="G116" t="s">
        <v>560</v>
      </c>
      <c r="H116" t="s">
        <v>560</v>
      </c>
      <c r="I116" s="57" t="s">
        <v>575</v>
      </c>
      <c r="J116" s="57" t="s">
        <v>576</v>
      </c>
      <c r="K116" s="57" t="s">
        <v>267</v>
      </c>
      <c r="L116" s="58" t="s">
        <v>311</v>
      </c>
      <c r="M116" s="59">
        <v>46273</v>
      </c>
      <c r="N116" s="60">
        <v>46298</v>
      </c>
    </row>
    <row r="117" spans="2:14" hidden="1" x14ac:dyDescent="0.3">
      <c r="B117" s="56" t="s">
        <v>263</v>
      </c>
      <c r="C117" s="57" t="s">
        <v>555</v>
      </c>
      <c r="D117" s="57" t="s">
        <v>283</v>
      </c>
      <c r="E117" s="57" t="s">
        <v>572</v>
      </c>
      <c r="F117" s="57" t="s">
        <v>563</v>
      </c>
      <c r="G117" t="s">
        <v>563</v>
      </c>
      <c r="H117" t="s">
        <v>563</v>
      </c>
      <c r="I117" s="57" t="s">
        <v>577</v>
      </c>
      <c r="J117" s="57" t="s">
        <v>578</v>
      </c>
      <c r="K117" s="57" t="s">
        <v>267</v>
      </c>
      <c r="L117" s="58" t="s">
        <v>311</v>
      </c>
      <c r="M117" s="59">
        <v>46368</v>
      </c>
      <c r="N117" s="60">
        <v>46391</v>
      </c>
    </row>
    <row r="118" spans="2:14" hidden="1" x14ac:dyDescent="0.3">
      <c r="B118" s="56" t="s">
        <v>263</v>
      </c>
      <c r="C118" s="57" t="s">
        <v>555</v>
      </c>
      <c r="D118" s="57" t="s">
        <v>283</v>
      </c>
      <c r="E118" s="57" t="s">
        <v>572</v>
      </c>
      <c r="F118" s="57" t="s">
        <v>566</v>
      </c>
      <c r="G118" t="s">
        <v>566</v>
      </c>
      <c r="H118" t="s">
        <v>566</v>
      </c>
      <c r="I118" s="57" t="s">
        <v>579</v>
      </c>
      <c r="J118" s="57" t="s">
        <v>580</v>
      </c>
      <c r="K118" s="57" t="s">
        <v>267</v>
      </c>
      <c r="L118" s="58" t="s">
        <v>311</v>
      </c>
      <c r="M118" s="59">
        <v>46368</v>
      </c>
      <c r="N118" s="60">
        <v>46391</v>
      </c>
    </row>
    <row r="119" spans="2:14" hidden="1" x14ac:dyDescent="0.3">
      <c r="B119" s="56" t="s">
        <v>263</v>
      </c>
      <c r="C119" s="57" t="s">
        <v>555</v>
      </c>
      <c r="D119" s="57" t="s">
        <v>283</v>
      </c>
      <c r="E119" s="57" t="s">
        <v>572</v>
      </c>
      <c r="F119" s="57" t="s">
        <v>569</v>
      </c>
      <c r="G119" t="s">
        <v>569</v>
      </c>
      <c r="H119" t="s">
        <v>569</v>
      </c>
      <c r="I119" s="57" t="s">
        <v>581</v>
      </c>
      <c r="J119" s="57" t="s">
        <v>582</v>
      </c>
      <c r="K119" s="57" t="s">
        <v>267</v>
      </c>
      <c r="L119" s="58" t="s">
        <v>311</v>
      </c>
      <c r="M119" s="59">
        <v>46368</v>
      </c>
      <c r="N119" s="60">
        <v>46391</v>
      </c>
    </row>
    <row r="120" spans="2:14" hidden="1" x14ac:dyDescent="0.3">
      <c r="B120" s="56" t="s">
        <v>263</v>
      </c>
      <c r="C120" s="57" t="s">
        <v>555</v>
      </c>
      <c r="D120" s="57" t="s">
        <v>283</v>
      </c>
      <c r="E120" s="57" t="s">
        <v>583</v>
      </c>
      <c r="F120" s="57" t="s">
        <v>557</v>
      </c>
      <c r="G120" t="s">
        <v>557</v>
      </c>
      <c r="H120" t="s">
        <v>557</v>
      </c>
      <c r="I120" s="57" t="s">
        <v>584</v>
      </c>
      <c r="J120" s="57" t="s">
        <v>585</v>
      </c>
      <c r="K120" s="57" t="s">
        <v>267</v>
      </c>
      <c r="L120" s="58" t="s">
        <v>311</v>
      </c>
      <c r="M120" s="59">
        <v>46159</v>
      </c>
      <c r="N120" s="60">
        <v>46186</v>
      </c>
    </row>
    <row r="121" spans="2:14" hidden="1" x14ac:dyDescent="0.3">
      <c r="B121" s="56" t="s">
        <v>263</v>
      </c>
      <c r="C121" s="57" t="s">
        <v>555</v>
      </c>
      <c r="D121" s="57" t="s">
        <v>283</v>
      </c>
      <c r="E121" s="57" t="s">
        <v>583</v>
      </c>
      <c r="F121" s="57" t="s">
        <v>560</v>
      </c>
      <c r="G121" t="s">
        <v>560</v>
      </c>
      <c r="H121" t="s">
        <v>560</v>
      </c>
      <c r="I121" s="57" t="s">
        <v>586</v>
      </c>
      <c r="J121" s="57" t="s">
        <v>587</v>
      </c>
      <c r="K121" s="57" t="s">
        <v>267</v>
      </c>
      <c r="L121" s="58" t="s">
        <v>311</v>
      </c>
      <c r="M121" s="59">
        <v>46299</v>
      </c>
      <c r="N121" s="60">
        <v>46322</v>
      </c>
    </row>
    <row r="122" spans="2:14" hidden="1" x14ac:dyDescent="0.3">
      <c r="B122" s="56" t="s">
        <v>263</v>
      </c>
      <c r="C122" s="57" t="s">
        <v>555</v>
      </c>
      <c r="D122" s="57" t="s">
        <v>283</v>
      </c>
      <c r="E122" s="57" t="s">
        <v>583</v>
      </c>
      <c r="F122" s="57" t="s">
        <v>563</v>
      </c>
      <c r="G122" t="s">
        <v>563</v>
      </c>
      <c r="H122" t="s">
        <v>563</v>
      </c>
      <c r="I122" s="57" t="s">
        <v>588</v>
      </c>
      <c r="J122" s="57" t="s">
        <v>589</v>
      </c>
      <c r="K122" s="57" t="s">
        <v>267</v>
      </c>
      <c r="L122" s="58" t="s">
        <v>311</v>
      </c>
      <c r="M122" s="59">
        <v>46392</v>
      </c>
      <c r="N122" s="60">
        <v>46415</v>
      </c>
    </row>
    <row r="123" spans="2:14" hidden="1" x14ac:dyDescent="0.3">
      <c r="B123" s="56" t="s">
        <v>263</v>
      </c>
      <c r="C123" s="57" t="s">
        <v>555</v>
      </c>
      <c r="D123" s="57" t="s">
        <v>283</v>
      </c>
      <c r="E123" s="57" t="s">
        <v>583</v>
      </c>
      <c r="F123" s="57" t="s">
        <v>566</v>
      </c>
      <c r="G123" t="s">
        <v>566</v>
      </c>
      <c r="H123" t="s">
        <v>566</v>
      </c>
      <c r="I123" s="57" t="s">
        <v>590</v>
      </c>
      <c r="J123" s="57" t="s">
        <v>591</v>
      </c>
      <c r="K123" s="57" t="s">
        <v>267</v>
      </c>
      <c r="L123" s="58" t="s">
        <v>311</v>
      </c>
      <c r="M123" s="59">
        <v>46392</v>
      </c>
      <c r="N123" s="60">
        <v>46415</v>
      </c>
    </row>
    <row r="124" spans="2:14" hidden="1" x14ac:dyDescent="0.3">
      <c r="B124" s="56" t="s">
        <v>263</v>
      </c>
      <c r="C124" s="57" t="s">
        <v>555</v>
      </c>
      <c r="D124" s="57" t="s">
        <v>283</v>
      </c>
      <c r="E124" s="57" t="s">
        <v>583</v>
      </c>
      <c r="F124" s="57" t="s">
        <v>569</v>
      </c>
      <c r="G124" t="s">
        <v>569</v>
      </c>
      <c r="H124" t="s">
        <v>569</v>
      </c>
      <c r="I124" s="57" t="s">
        <v>592</v>
      </c>
      <c r="J124" s="57" t="s">
        <v>593</v>
      </c>
      <c r="K124" s="57" t="s">
        <v>267</v>
      </c>
      <c r="L124" s="58" t="s">
        <v>311</v>
      </c>
      <c r="M124" s="59">
        <v>46392</v>
      </c>
      <c r="N124" s="60">
        <v>46415</v>
      </c>
    </row>
    <row r="125" spans="2:14" hidden="1" x14ac:dyDescent="0.3">
      <c r="B125" s="56" t="s">
        <v>263</v>
      </c>
      <c r="C125" s="57" t="s">
        <v>555</v>
      </c>
      <c r="D125" s="57" t="s">
        <v>283</v>
      </c>
      <c r="E125" s="57" t="s">
        <v>594</v>
      </c>
      <c r="F125" s="57" t="s">
        <v>557</v>
      </c>
      <c r="G125" t="s">
        <v>557</v>
      </c>
      <c r="H125" t="s">
        <v>557</v>
      </c>
      <c r="I125" s="57" t="s">
        <v>595</v>
      </c>
      <c r="J125" s="57" t="s">
        <v>596</v>
      </c>
      <c r="K125" s="57" t="s">
        <v>267</v>
      </c>
      <c r="L125" s="58" t="s">
        <v>311</v>
      </c>
      <c r="M125" s="59">
        <v>46187</v>
      </c>
      <c r="N125" s="60">
        <v>46210</v>
      </c>
    </row>
    <row r="126" spans="2:14" hidden="1" x14ac:dyDescent="0.3">
      <c r="B126" s="56" t="s">
        <v>263</v>
      </c>
      <c r="C126" s="57" t="s">
        <v>555</v>
      </c>
      <c r="D126" s="57" t="s">
        <v>283</v>
      </c>
      <c r="E126" s="57" t="s">
        <v>594</v>
      </c>
      <c r="F126" s="57" t="s">
        <v>560</v>
      </c>
      <c r="G126" t="s">
        <v>560</v>
      </c>
      <c r="H126" t="s">
        <v>560</v>
      </c>
      <c r="I126" s="57" t="s">
        <v>597</v>
      </c>
      <c r="J126" s="57" t="s">
        <v>598</v>
      </c>
      <c r="K126" s="57" t="s">
        <v>267</v>
      </c>
      <c r="L126" s="58" t="s">
        <v>311</v>
      </c>
      <c r="M126" s="59">
        <v>46323</v>
      </c>
      <c r="N126" s="60">
        <v>46347</v>
      </c>
    </row>
    <row r="127" spans="2:14" hidden="1" x14ac:dyDescent="0.3">
      <c r="B127" s="56" t="s">
        <v>263</v>
      </c>
      <c r="C127" s="57" t="s">
        <v>555</v>
      </c>
      <c r="D127" s="57" t="s">
        <v>283</v>
      </c>
      <c r="E127" s="57" t="s">
        <v>594</v>
      </c>
      <c r="F127" s="57" t="s">
        <v>563</v>
      </c>
      <c r="G127" t="s">
        <v>563</v>
      </c>
      <c r="H127" t="s">
        <v>563</v>
      </c>
      <c r="I127" s="57" t="s">
        <v>599</v>
      </c>
      <c r="J127" s="57" t="s">
        <v>600</v>
      </c>
      <c r="K127" s="57" t="s">
        <v>267</v>
      </c>
      <c r="L127" s="58" t="s">
        <v>311</v>
      </c>
      <c r="M127" s="59">
        <v>46406</v>
      </c>
      <c r="N127" s="60">
        <v>46429</v>
      </c>
    </row>
    <row r="128" spans="2:14" hidden="1" x14ac:dyDescent="0.3">
      <c r="B128" s="56" t="s">
        <v>263</v>
      </c>
      <c r="C128" s="57" t="s">
        <v>555</v>
      </c>
      <c r="D128" s="57" t="s">
        <v>283</v>
      </c>
      <c r="E128" s="57" t="s">
        <v>594</v>
      </c>
      <c r="F128" s="57" t="s">
        <v>566</v>
      </c>
      <c r="G128" t="s">
        <v>566</v>
      </c>
      <c r="H128" t="s">
        <v>566</v>
      </c>
      <c r="I128" s="57" t="s">
        <v>601</v>
      </c>
      <c r="J128" s="57" t="s">
        <v>602</v>
      </c>
      <c r="K128" s="57" t="s">
        <v>267</v>
      </c>
      <c r="L128" s="58" t="s">
        <v>311</v>
      </c>
      <c r="M128" s="59">
        <v>46417</v>
      </c>
      <c r="N128" s="60">
        <v>46441</v>
      </c>
    </row>
    <row r="129" spans="2:14" hidden="1" x14ac:dyDescent="0.3">
      <c r="B129" s="56" t="s">
        <v>263</v>
      </c>
      <c r="C129" s="57" t="s">
        <v>555</v>
      </c>
      <c r="D129" s="57" t="s">
        <v>283</v>
      </c>
      <c r="E129" s="57" t="s">
        <v>594</v>
      </c>
      <c r="F129" s="57" t="s">
        <v>569</v>
      </c>
      <c r="G129" t="s">
        <v>569</v>
      </c>
      <c r="H129" t="s">
        <v>569</v>
      </c>
      <c r="I129" s="57" t="s">
        <v>603</v>
      </c>
      <c r="J129" s="57" t="s">
        <v>604</v>
      </c>
      <c r="K129" s="57" t="s">
        <v>267</v>
      </c>
      <c r="L129" s="58" t="s">
        <v>311</v>
      </c>
      <c r="M129" s="59">
        <v>46417</v>
      </c>
      <c r="N129" s="60">
        <v>46441</v>
      </c>
    </row>
    <row r="130" spans="2:14" hidden="1" x14ac:dyDescent="0.3">
      <c r="B130" s="56" t="s">
        <v>263</v>
      </c>
      <c r="C130" s="57" t="s">
        <v>555</v>
      </c>
      <c r="D130" s="57" t="s">
        <v>283</v>
      </c>
      <c r="E130" s="57" t="s">
        <v>605</v>
      </c>
      <c r="F130" s="57" t="s">
        <v>557</v>
      </c>
      <c r="G130" t="s">
        <v>557</v>
      </c>
      <c r="H130" t="s">
        <v>557</v>
      </c>
      <c r="I130" s="57" t="s">
        <v>606</v>
      </c>
      <c r="J130" s="57" t="s">
        <v>607</v>
      </c>
      <c r="K130" s="57" t="s">
        <v>267</v>
      </c>
      <c r="L130" s="58" t="s">
        <v>311</v>
      </c>
      <c r="M130" s="59">
        <v>46211</v>
      </c>
      <c r="N130" s="60">
        <v>46235</v>
      </c>
    </row>
    <row r="131" spans="2:14" hidden="1" x14ac:dyDescent="0.3">
      <c r="B131" s="56" t="s">
        <v>263</v>
      </c>
      <c r="C131" s="57" t="s">
        <v>555</v>
      </c>
      <c r="D131" s="57" t="s">
        <v>283</v>
      </c>
      <c r="E131" s="57" t="s">
        <v>605</v>
      </c>
      <c r="F131" s="57" t="s">
        <v>560</v>
      </c>
      <c r="G131" t="s">
        <v>560</v>
      </c>
      <c r="H131" t="s">
        <v>560</v>
      </c>
      <c r="I131" s="57" t="s">
        <v>608</v>
      </c>
      <c r="J131" s="57" t="s">
        <v>609</v>
      </c>
      <c r="K131" s="57" t="s">
        <v>267</v>
      </c>
      <c r="L131" s="58" t="s">
        <v>311</v>
      </c>
      <c r="M131" s="59">
        <v>46348</v>
      </c>
      <c r="N131" s="60">
        <v>46371</v>
      </c>
    </row>
    <row r="132" spans="2:14" hidden="1" x14ac:dyDescent="0.3">
      <c r="B132" s="56" t="s">
        <v>263</v>
      </c>
      <c r="C132" s="57" t="s">
        <v>555</v>
      </c>
      <c r="D132" s="57" t="s">
        <v>283</v>
      </c>
      <c r="E132" s="57" t="s">
        <v>605</v>
      </c>
      <c r="F132" s="57" t="s">
        <v>563</v>
      </c>
      <c r="G132" t="s">
        <v>563</v>
      </c>
      <c r="H132" t="s">
        <v>563</v>
      </c>
      <c r="I132" s="57" t="s">
        <v>610</v>
      </c>
      <c r="J132" s="57" t="s">
        <v>611</v>
      </c>
      <c r="K132" s="57" t="s">
        <v>267</v>
      </c>
      <c r="L132" s="58" t="s">
        <v>311</v>
      </c>
      <c r="M132" s="59">
        <v>46431</v>
      </c>
      <c r="N132" s="60">
        <v>46455</v>
      </c>
    </row>
    <row r="133" spans="2:14" hidden="1" x14ac:dyDescent="0.3">
      <c r="B133" s="56" t="s">
        <v>263</v>
      </c>
      <c r="C133" s="57" t="s">
        <v>555</v>
      </c>
      <c r="D133" s="57" t="s">
        <v>283</v>
      </c>
      <c r="E133" s="57" t="s">
        <v>605</v>
      </c>
      <c r="F133" s="57" t="s">
        <v>566</v>
      </c>
      <c r="G133" t="s">
        <v>566</v>
      </c>
      <c r="H133" t="s">
        <v>566</v>
      </c>
      <c r="I133" s="57" t="s">
        <v>612</v>
      </c>
      <c r="J133" s="57" t="s">
        <v>613</v>
      </c>
      <c r="K133" s="57" t="s">
        <v>267</v>
      </c>
      <c r="L133" s="58" t="s">
        <v>311</v>
      </c>
      <c r="M133" s="59">
        <v>46442</v>
      </c>
      <c r="N133" s="60">
        <v>46468</v>
      </c>
    </row>
    <row r="134" spans="2:14" hidden="1" x14ac:dyDescent="0.3">
      <c r="B134" s="56" t="s">
        <v>263</v>
      </c>
      <c r="C134" s="57" t="s">
        <v>555</v>
      </c>
      <c r="D134" s="57" t="s">
        <v>283</v>
      </c>
      <c r="E134" s="57" t="s">
        <v>605</v>
      </c>
      <c r="F134" s="57" t="s">
        <v>569</v>
      </c>
      <c r="G134" t="s">
        <v>569</v>
      </c>
      <c r="H134" t="s">
        <v>569</v>
      </c>
      <c r="I134" s="57" t="s">
        <v>614</v>
      </c>
      <c r="J134" s="57" t="s">
        <v>615</v>
      </c>
      <c r="K134" s="57" t="s">
        <v>267</v>
      </c>
      <c r="L134" s="58" t="s">
        <v>311</v>
      </c>
      <c r="M134" s="59">
        <v>46442</v>
      </c>
      <c r="N134" s="60">
        <v>46468</v>
      </c>
    </row>
    <row r="135" spans="2:14" hidden="1" x14ac:dyDescent="0.3">
      <c r="B135" s="56" t="s">
        <v>263</v>
      </c>
      <c r="C135" s="57" t="s">
        <v>555</v>
      </c>
      <c r="D135" s="57" t="s">
        <v>283</v>
      </c>
      <c r="E135" s="57" t="s">
        <v>616</v>
      </c>
      <c r="F135" s="57" t="s">
        <v>557</v>
      </c>
      <c r="G135" t="s">
        <v>557</v>
      </c>
      <c r="H135" t="s">
        <v>557</v>
      </c>
      <c r="I135" s="57" t="s">
        <v>617</v>
      </c>
      <c r="J135" s="57" t="s">
        <v>618</v>
      </c>
      <c r="K135" s="57" t="s">
        <v>267</v>
      </c>
      <c r="L135" s="58" t="s">
        <v>311</v>
      </c>
      <c r="M135" s="59">
        <v>46236</v>
      </c>
      <c r="N135" s="60">
        <v>46259</v>
      </c>
    </row>
    <row r="136" spans="2:14" hidden="1" x14ac:dyDescent="0.3">
      <c r="B136" s="56" t="s">
        <v>263</v>
      </c>
      <c r="C136" s="57" t="s">
        <v>555</v>
      </c>
      <c r="D136" s="57" t="s">
        <v>283</v>
      </c>
      <c r="E136" s="57" t="s">
        <v>616</v>
      </c>
      <c r="F136" s="57" t="s">
        <v>560</v>
      </c>
      <c r="G136" t="s">
        <v>560</v>
      </c>
      <c r="H136" t="s">
        <v>560</v>
      </c>
      <c r="I136" s="57" t="s">
        <v>619</v>
      </c>
      <c r="J136" s="57" t="s">
        <v>620</v>
      </c>
      <c r="K136" s="57" t="s">
        <v>267</v>
      </c>
      <c r="L136" s="58" t="s">
        <v>311</v>
      </c>
      <c r="M136" s="59">
        <v>46372</v>
      </c>
      <c r="N136" s="60">
        <v>46396</v>
      </c>
    </row>
    <row r="137" spans="2:14" hidden="1" x14ac:dyDescent="0.3">
      <c r="B137" s="56" t="s">
        <v>263</v>
      </c>
      <c r="C137" s="57" t="s">
        <v>555</v>
      </c>
      <c r="D137" s="57" t="s">
        <v>283</v>
      </c>
      <c r="E137" s="57" t="s">
        <v>616</v>
      </c>
      <c r="F137" s="57" t="s">
        <v>563</v>
      </c>
      <c r="G137" t="s">
        <v>563</v>
      </c>
      <c r="H137" t="s">
        <v>563</v>
      </c>
      <c r="I137" s="57" t="s">
        <v>621</v>
      </c>
      <c r="J137" s="57" t="s">
        <v>622</v>
      </c>
      <c r="K137" s="57" t="s">
        <v>267</v>
      </c>
      <c r="L137" s="58" t="s">
        <v>311</v>
      </c>
      <c r="M137" s="59">
        <v>46431</v>
      </c>
      <c r="N137" s="60">
        <v>46455</v>
      </c>
    </row>
    <row r="138" spans="2:14" hidden="1" x14ac:dyDescent="0.3">
      <c r="B138" s="56" t="s">
        <v>263</v>
      </c>
      <c r="C138" s="57" t="s">
        <v>555</v>
      </c>
      <c r="D138" s="57" t="s">
        <v>283</v>
      </c>
      <c r="E138" s="57" t="s">
        <v>616</v>
      </c>
      <c r="F138" s="57" t="s">
        <v>566</v>
      </c>
      <c r="G138" t="s">
        <v>566</v>
      </c>
      <c r="H138" t="s">
        <v>566</v>
      </c>
      <c r="I138" s="57" t="s">
        <v>623</v>
      </c>
      <c r="J138" s="57" t="s">
        <v>624</v>
      </c>
      <c r="K138" s="57" t="s">
        <v>267</v>
      </c>
      <c r="L138" s="58" t="s">
        <v>311</v>
      </c>
      <c r="M138" s="59">
        <v>46469</v>
      </c>
      <c r="N138" s="60">
        <v>46492</v>
      </c>
    </row>
    <row r="139" spans="2:14" hidden="1" x14ac:dyDescent="0.3">
      <c r="B139" s="56" t="s">
        <v>263</v>
      </c>
      <c r="C139" s="57" t="s">
        <v>555</v>
      </c>
      <c r="D139" s="57" t="s">
        <v>283</v>
      </c>
      <c r="E139" s="57" t="s">
        <v>616</v>
      </c>
      <c r="F139" s="57" t="s">
        <v>569</v>
      </c>
      <c r="G139" t="s">
        <v>569</v>
      </c>
      <c r="H139" t="s">
        <v>569</v>
      </c>
      <c r="I139" s="57" t="s">
        <v>625</v>
      </c>
      <c r="J139" s="57" t="s">
        <v>626</v>
      </c>
      <c r="K139" s="57" t="s">
        <v>267</v>
      </c>
      <c r="L139" s="58" t="s">
        <v>311</v>
      </c>
      <c r="M139" s="59">
        <v>46469</v>
      </c>
      <c r="N139" s="60">
        <v>46492</v>
      </c>
    </row>
    <row r="140" spans="2:14" hidden="1" x14ac:dyDescent="0.3">
      <c r="B140" s="56" t="s">
        <v>263</v>
      </c>
      <c r="C140" s="57" t="s">
        <v>555</v>
      </c>
      <c r="D140" s="57" t="s">
        <v>283</v>
      </c>
      <c r="E140" s="57" t="s">
        <v>627</v>
      </c>
      <c r="F140" s="57" t="s">
        <v>557</v>
      </c>
      <c r="G140" t="s">
        <v>557</v>
      </c>
      <c r="H140" t="s">
        <v>557</v>
      </c>
      <c r="I140" s="57" t="s">
        <v>628</v>
      </c>
      <c r="J140" s="57" t="s">
        <v>629</v>
      </c>
      <c r="K140" s="57" t="s">
        <v>267</v>
      </c>
      <c r="L140" s="58" t="s">
        <v>311</v>
      </c>
      <c r="M140" s="59">
        <v>46260</v>
      </c>
      <c r="N140" s="60">
        <v>46284</v>
      </c>
    </row>
    <row r="141" spans="2:14" hidden="1" x14ac:dyDescent="0.3">
      <c r="B141" s="56" t="s">
        <v>263</v>
      </c>
      <c r="C141" s="57" t="s">
        <v>555</v>
      </c>
      <c r="D141" s="57" t="s">
        <v>283</v>
      </c>
      <c r="E141" s="57" t="s">
        <v>627</v>
      </c>
      <c r="F141" s="57" t="s">
        <v>560</v>
      </c>
      <c r="G141" t="s">
        <v>560</v>
      </c>
      <c r="H141" t="s">
        <v>560</v>
      </c>
      <c r="I141" s="57" t="s">
        <v>630</v>
      </c>
      <c r="J141" s="57" t="s">
        <v>631</v>
      </c>
      <c r="K141" s="57" t="s">
        <v>267</v>
      </c>
      <c r="L141" s="58" t="s">
        <v>311</v>
      </c>
      <c r="M141" s="59">
        <v>46397</v>
      </c>
      <c r="N141" s="60">
        <v>46420</v>
      </c>
    </row>
    <row r="142" spans="2:14" hidden="1" x14ac:dyDescent="0.3">
      <c r="B142" s="56" t="s">
        <v>263</v>
      </c>
      <c r="C142" s="57" t="s">
        <v>555</v>
      </c>
      <c r="D142" s="57" t="s">
        <v>283</v>
      </c>
      <c r="E142" s="57" t="s">
        <v>627</v>
      </c>
      <c r="F142" s="57" t="s">
        <v>563</v>
      </c>
      <c r="G142" t="s">
        <v>563</v>
      </c>
      <c r="H142" t="s">
        <v>563</v>
      </c>
      <c r="I142" s="57" t="s">
        <v>632</v>
      </c>
      <c r="J142" s="57" t="s">
        <v>633</v>
      </c>
      <c r="K142" s="57" t="s">
        <v>267</v>
      </c>
      <c r="L142" s="58" t="s">
        <v>311</v>
      </c>
      <c r="M142" s="59">
        <v>46470</v>
      </c>
      <c r="N142" s="60">
        <v>46494</v>
      </c>
    </row>
    <row r="143" spans="2:14" hidden="1" x14ac:dyDescent="0.3">
      <c r="B143" s="56" t="s">
        <v>263</v>
      </c>
      <c r="C143" s="57" t="s">
        <v>555</v>
      </c>
      <c r="D143" s="57" t="s">
        <v>283</v>
      </c>
      <c r="E143" s="57" t="s">
        <v>627</v>
      </c>
      <c r="F143" s="57" t="s">
        <v>566</v>
      </c>
      <c r="G143" t="s">
        <v>566</v>
      </c>
      <c r="H143" t="s">
        <v>566</v>
      </c>
      <c r="I143" s="57" t="s">
        <v>634</v>
      </c>
      <c r="J143" s="57" t="s">
        <v>635</v>
      </c>
      <c r="K143" s="57" t="s">
        <v>267</v>
      </c>
      <c r="L143" s="58" t="s">
        <v>311</v>
      </c>
      <c r="M143" s="59">
        <v>46494</v>
      </c>
      <c r="N143" s="60">
        <v>46517</v>
      </c>
    </row>
    <row r="144" spans="2:14" hidden="1" x14ac:dyDescent="0.3">
      <c r="B144" s="56" t="s">
        <v>263</v>
      </c>
      <c r="C144" s="57" t="s">
        <v>555</v>
      </c>
      <c r="D144" s="57" t="s">
        <v>283</v>
      </c>
      <c r="E144" s="57" t="s">
        <v>627</v>
      </c>
      <c r="F144" s="57" t="s">
        <v>569</v>
      </c>
      <c r="G144" t="s">
        <v>569</v>
      </c>
      <c r="H144" t="s">
        <v>569</v>
      </c>
      <c r="I144" s="57" t="s">
        <v>636</v>
      </c>
      <c r="J144" s="57" t="s">
        <v>637</v>
      </c>
      <c r="K144" s="57" t="s">
        <v>267</v>
      </c>
      <c r="L144" s="58" t="s">
        <v>311</v>
      </c>
      <c r="M144" s="59">
        <v>46494</v>
      </c>
      <c r="N144" s="60">
        <v>46517</v>
      </c>
    </row>
    <row r="145" spans="2:14" hidden="1" x14ac:dyDescent="0.3">
      <c r="B145" s="56" t="s">
        <v>263</v>
      </c>
      <c r="C145" s="57" t="s">
        <v>555</v>
      </c>
      <c r="D145" s="57" t="s">
        <v>283</v>
      </c>
      <c r="E145" s="57" t="s">
        <v>638</v>
      </c>
      <c r="F145" s="57" t="s">
        <v>557</v>
      </c>
      <c r="G145" t="s">
        <v>557</v>
      </c>
      <c r="H145" t="s">
        <v>557</v>
      </c>
      <c r="I145" s="57" t="s">
        <v>639</v>
      </c>
      <c r="J145" s="57" t="s">
        <v>640</v>
      </c>
      <c r="K145" s="57" t="s">
        <v>267</v>
      </c>
      <c r="L145" s="58" t="s">
        <v>311</v>
      </c>
      <c r="M145" s="59">
        <v>46285</v>
      </c>
      <c r="N145" s="60">
        <v>46309</v>
      </c>
    </row>
    <row r="146" spans="2:14" hidden="1" x14ac:dyDescent="0.3">
      <c r="B146" s="56" t="s">
        <v>263</v>
      </c>
      <c r="C146" s="57" t="s">
        <v>555</v>
      </c>
      <c r="D146" s="57" t="s">
        <v>283</v>
      </c>
      <c r="E146" s="57" t="s">
        <v>638</v>
      </c>
      <c r="F146" s="57" t="s">
        <v>560</v>
      </c>
      <c r="G146" t="s">
        <v>560</v>
      </c>
      <c r="H146" t="s">
        <v>560</v>
      </c>
      <c r="I146" s="57" t="s">
        <v>641</v>
      </c>
      <c r="J146" s="57" t="s">
        <v>642</v>
      </c>
      <c r="K146" s="57" t="s">
        <v>267</v>
      </c>
      <c r="L146" s="58" t="s">
        <v>311</v>
      </c>
      <c r="M146" s="59">
        <v>46470</v>
      </c>
      <c r="N146" s="60">
        <v>46494</v>
      </c>
    </row>
    <row r="147" spans="2:14" hidden="1" x14ac:dyDescent="0.3">
      <c r="B147" s="56" t="s">
        <v>263</v>
      </c>
      <c r="C147" s="57" t="s">
        <v>555</v>
      </c>
      <c r="D147" s="57" t="s">
        <v>283</v>
      </c>
      <c r="E147" s="57" t="s">
        <v>638</v>
      </c>
      <c r="F147" s="57" t="s">
        <v>563</v>
      </c>
      <c r="G147" t="s">
        <v>563</v>
      </c>
      <c r="H147" t="s">
        <v>563</v>
      </c>
      <c r="I147" s="57" t="s">
        <v>643</v>
      </c>
      <c r="J147" s="57" t="s">
        <v>644</v>
      </c>
      <c r="K147" s="57" t="s">
        <v>267</v>
      </c>
      <c r="L147" s="58" t="s">
        <v>311</v>
      </c>
      <c r="M147" s="59">
        <v>46508</v>
      </c>
      <c r="N147" s="60">
        <v>46536</v>
      </c>
    </row>
    <row r="148" spans="2:14" hidden="1" x14ac:dyDescent="0.3">
      <c r="B148" s="56" t="s">
        <v>263</v>
      </c>
      <c r="C148" s="57" t="s">
        <v>555</v>
      </c>
      <c r="D148" s="57" t="s">
        <v>283</v>
      </c>
      <c r="E148" s="57" t="s">
        <v>638</v>
      </c>
      <c r="F148" s="57" t="s">
        <v>566</v>
      </c>
      <c r="G148" t="s">
        <v>566</v>
      </c>
      <c r="H148" t="s">
        <v>566</v>
      </c>
      <c r="I148" s="57" t="s">
        <v>645</v>
      </c>
      <c r="J148" s="57" t="s">
        <v>646</v>
      </c>
      <c r="K148" s="57" t="s">
        <v>267</v>
      </c>
      <c r="L148" s="58" t="s">
        <v>311</v>
      </c>
      <c r="M148" s="59">
        <v>46518</v>
      </c>
      <c r="N148" s="60">
        <v>46546</v>
      </c>
    </row>
    <row r="149" spans="2:14" hidden="1" x14ac:dyDescent="0.3">
      <c r="B149" s="56" t="s">
        <v>263</v>
      </c>
      <c r="C149" s="57" t="s">
        <v>555</v>
      </c>
      <c r="D149" s="57" t="s">
        <v>283</v>
      </c>
      <c r="E149" s="57" t="s">
        <v>638</v>
      </c>
      <c r="F149" s="57" t="s">
        <v>569</v>
      </c>
      <c r="G149" t="s">
        <v>569</v>
      </c>
      <c r="H149" t="s">
        <v>569</v>
      </c>
      <c r="I149" s="57" t="s">
        <v>647</v>
      </c>
      <c r="J149" s="57" t="s">
        <v>648</v>
      </c>
      <c r="K149" s="57" t="s">
        <v>267</v>
      </c>
      <c r="L149" s="58" t="s">
        <v>311</v>
      </c>
      <c r="M149" s="59">
        <v>46518</v>
      </c>
      <c r="N149" s="60">
        <v>46546</v>
      </c>
    </row>
    <row r="150" spans="2:14" hidden="1" x14ac:dyDescent="0.3">
      <c r="B150" s="56" t="s">
        <v>263</v>
      </c>
      <c r="C150" s="57" t="s">
        <v>555</v>
      </c>
      <c r="D150" s="57" t="s">
        <v>283</v>
      </c>
      <c r="E150" s="57" t="s">
        <v>649</v>
      </c>
      <c r="F150" s="57" t="s">
        <v>557</v>
      </c>
      <c r="G150" t="s">
        <v>557</v>
      </c>
      <c r="H150" t="s">
        <v>557</v>
      </c>
      <c r="I150" s="57" t="s">
        <v>650</v>
      </c>
      <c r="J150" s="57" t="s">
        <v>651</v>
      </c>
      <c r="K150" s="57" t="s">
        <v>267</v>
      </c>
      <c r="L150" s="58" t="s">
        <v>307</v>
      </c>
      <c r="M150" s="59">
        <v>46310</v>
      </c>
      <c r="N150" s="60">
        <v>46342</v>
      </c>
    </row>
    <row r="151" spans="2:14" hidden="1" x14ac:dyDescent="0.3">
      <c r="B151" s="56" t="s">
        <v>263</v>
      </c>
      <c r="C151" s="57" t="s">
        <v>555</v>
      </c>
      <c r="D151" s="57" t="s">
        <v>283</v>
      </c>
      <c r="E151" s="57" t="s">
        <v>649</v>
      </c>
      <c r="F151" s="57" t="s">
        <v>560</v>
      </c>
      <c r="G151" t="s">
        <v>560</v>
      </c>
      <c r="H151" t="s">
        <v>560</v>
      </c>
      <c r="I151" s="57" t="s">
        <v>652</v>
      </c>
      <c r="J151" s="57" t="s">
        <v>653</v>
      </c>
      <c r="K151" s="57" t="s">
        <v>267</v>
      </c>
      <c r="L151" s="58" t="s">
        <v>307</v>
      </c>
      <c r="M151" s="59">
        <v>46495</v>
      </c>
      <c r="N151" s="60">
        <v>46531</v>
      </c>
    </row>
    <row r="152" spans="2:14" hidden="1" x14ac:dyDescent="0.3">
      <c r="B152" s="56" t="s">
        <v>263</v>
      </c>
      <c r="C152" s="57" t="s">
        <v>555</v>
      </c>
      <c r="D152" s="57" t="s">
        <v>283</v>
      </c>
      <c r="E152" s="57" t="s">
        <v>649</v>
      </c>
      <c r="F152" s="57" t="s">
        <v>563</v>
      </c>
      <c r="G152" t="s">
        <v>563</v>
      </c>
      <c r="H152" t="s">
        <v>563</v>
      </c>
      <c r="I152" s="57" t="s">
        <v>654</v>
      </c>
      <c r="J152" s="57" t="s">
        <v>655</v>
      </c>
      <c r="K152" s="57" t="s">
        <v>267</v>
      </c>
      <c r="L152" s="58" t="s">
        <v>307</v>
      </c>
      <c r="M152" s="59">
        <v>46537</v>
      </c>
      <c r="N152" s="60">
        <v>46568</v>
      </c>
    </row>
    <row r="153" spans="2:14" hidden="1" x14ac:dyDescent="0.3">
      <c r="B153" s="56" t="s">
        <v>263</v>
      </c>
      <c r="C153" s="57" t="s">
        <v>555</v>
      </c>
      <c r="D153" s="57" t="s">
        <v>283</v>
      </c>
      <c r="E153" s="57" t="s">
        <v>649</v>
      </c>
      <c r="F153" s="57" t="s">
        <v>566</v>
      </c>
      <c r="G153" t="s">
        <v>566</v>
      </c>
      <c r="H153" t="s">
        <v>566</v>
      </c>
      <c r="I153" s="57" t="s">
        <v>656</v>
      </c>
      <c r="J153" s="57" t="s">
        <v>657</v>
      </c>
      <c r="K153" s="57" t="s">
        <v>267</v>
      </c>
      <c r="L153" s="58" t="s">
        <v>307</v>
      </c>
      <c r="M153" s="59">
        <v>46547</v>
      </c>
      <c r="N153" s="60">
        <v>46579</v>
      </c>
    </row>
    <row r="154" spans="2:14" hidden="1" x14ac:dyDescent="0.3">
      <c r="B154" s="56" t="s">
        <v>263</v>
      </c>
      <c r="C154" s="57" t="s">
        <v>555</v>
      </c>
      <c r="D154" s="57" t="s">
        <v>283</v>
      </c>
      <c r="E154" s="57" t="s">
        <v>649</v>
      </c>
      <c r="F154" s="57" t="s">
        <v>569</v>
      </c>
      <c r="G154" t="s">
        <v>569</v>
      </c>
      <c r="H154" t="s">
        <v>569</v>
      </c>
      <c r="I154" s="57" t="s">
        <v>658</v>
      </c>
      <c r="J154" s="57" t="s">
        <v>659</v>
      </c>
      <c r="K154" s="57" t="s">
        <v>267</v>
      </c>
      <c r="L154" s="58" t="s">
        <v>307</v>
      </c>
      <c r="M154" s="59">
        <v>46547</v>
      </c>
      <c r="N154" s="60">
        <v>46579</v>
      </c>
    </row>
    <row r="155" spans="2:14" hidden="1" x14ac:dyDescent="0.3">
      <c r="B155" s="56" t="s">
        <v>263</v>
      </c>
      <c r="C155" s="57" t="s">
        <v>555</v>
      </c>
      <c r="D155" s="57" t="s">
        <v>283</v>
      </c>
      <c r="E155" s="57" t="s">
        <v>660</v>
      </c>
      <c r="F155" s="57" t="s">
        <v>557</v>
      </c>
      <c r="G155" t="s">
        <v>557</v>
      </c>
      <c r="H155" t="s">
        <v>557</v>
      </c>
      <c r="I155" s="57" t="s">
        <v>661</v>
      </c>
      <c r="J155" s="57" t="s">
        <v>662</v>
      </c>
      <c r="K155" s="57" t="s">
        <v>267</v>
      </c>
      <c r="L155" s="58" t="s">
        <v>311</v>
      </c>
      <c r="M155" s="59">
        <v>46408</v>
      </c>
      <c r="N155" s="60">
        <v>46432</v>
      </c>
    </row>
    <row r="156" spans="2:14" hidden="1" x14ac:dyDescent="0.3">
      <c r="B156" s="56" t="s">
        <v>263</v>
      </c>
      <c r="C156" s="57" t="s">
        <v>555</v>
      </c>
      <c r="D156" s="57" t="s">
        <v>283</v>
      </c>
      <c r="E156" s="57" t="s">
        <v>660</v>
      </c>
      <c r="F156" s="57" t="s">
        <v>560</v>
      </c>
      <c r="G156" t="s">
        <v>560</v>
      </c>
      <c r="H156" t="s">
        <v>560</v>
      </c>
      <c r="I156" s="57" t="s">
        <v>663</v>
      </c>
      <c r="J156" s="57" t="s">
        <v>664</v>
      </c>
      <c r="K156" s="57" t="s">
        <v>267</v>
      </c>
      <c r="L156" s="58" t="s">
        <v>311</v>
      </c>
      <c r="M156" s="59">
        <v>46532</v>
      </c>
      <c r="N156" s="60">
        <v>46555</v>
      </c>
    </row>
    <row r="157" spans="2:14" hidden="1" x14ac:dyDescent="0.3">
      <c r="B157" s="56" t="s">
        <v>263</v>
      </c>
      <c r="C157" s="57" t="s">
        <v>555</v>
      </c>
      <c r="D157" s="57" t="s">
        <v>283</v>
      </c>
      <c r="E157" s="57" t="s">
        <v>660</v>
      </c>
      <c r="F157" s="57" t="s">
        <v>563</v>
      </c>
      <c r="G157" t="s">
        <v>563</v>
      </c>
      <c r="H157" t="s">
        <v>563</v>
      </c>
      <c r="I157" s="57" t="s">
        <v>665</v>
      </c>
      <c r="J157" s="57" t="s">
        <v>666</v>
      </c>
      <c r="K157" s="57" t="s">
        <v>267</v>
      </c>
      <c r="L157" s="58" t="s">
        <v>311</v>
      </c>
      <c r="M157" s="59">
        <v>46569</v>
      </c>
      <c r="N157" s="60">
        <v>46593</v>
      </c>
    </row>
    <row r="158" spans="2:14" hidden="1" x14ac:dyDescent="0.3">
      <c r="B158" s="56" t="s">
        <v>263</v>
      </c>
      <c r="C158" s="57" t="s">
        <v>555</v>
      </c>
      <c r="D158" s="57" t="s">
        <v>283</v>
      </c>
      <c r="E158" s="57" t="s">
        <v>660</v>
      </c>
      <c r="F158" s="57" t="s">
        <v>566</v>
      </c>
      <c r="G158" t="s">
        <v>566</v>
      </c>
      <c r="H158" t="s">
        <v>566</v>
      </c>
      <c r="I158" s="57" t="s">
        <v>667</v>
      </c>
      <c r="J158" s="57" t="s">
        <v>668</v>
      </c>
      <c r="K158" s="57" t="s">
        <v>267</v>
      </c>
      <c r="L158" s="58" t="s">
        <v>311</v>
      </c>
      <c r="M158" s="59">
        <v>46580</v>
      </c>
      <c r="N158" s="60">
        <v>46603</v>
      </c>
    </row>
    <row r="159" spans="2:14" hidden="1" x14ac:dyDescent="0.3">
      <c r="B159" s="56" t="s">
        <v>263</v>
      </c>
      <c r="C159" s="57" t="s">
        <v>555</v>
      </c>
      <c r="D159" s="57" t="s">
        <v>283</v>
      </c>
      <c r="E159" s="57" t="s">
        <v>660</v>
      </c>
      <c r="F159" s="57" t="s">
        <v>569</v>
      </c>
      <c r="G159" t="s">
        <v>569</v>
      </c>
      <c r="H159" t="s">
        <v>569</v>
      </c>
      <c r="I159" s="57" t="s">
        <v>669</v>
      </c>
      <c r="J159" s="57" t="s">
        <v>670</v>
      </c>
      <c r="K159" s="57" t="s">
        <v>267</v>
      </c>
      <c r="L159" s="58" t="s">
        <v>311</v>
      </c>
      <c r="M159" s="59">
        <v>46580</v>
      </c>
      <c r="N159" s="60">
        <v>46603</v>
      </c>
    </row>
    <row r="160" spans="2:14" hidden="1" x14ac:dyDescent="0.3">
      <c r="B160" s="56" t="s">
        <v>263</v>
      </c>
      <c r="C160" s="57" t="s">
        <v>555</v>
      </c>
      <c r="D160" s="57" t="s">
        <v>283</v>
      </c>
      <c r="E160" s="57" t="s">
        <v>671</v>
      </c>
      <c r="F160" s="57" t="s">
        <v>557</v>
      </c>
      <c r="G160" t="s">
        <v>557</v>
      </c>
      <c r="H160" t="s">
        <v>557</v>
      </c>
      <c r="I160" s="57" t="s">
        <v>672</v>
      </c>
      <c r="J160" s="57" t="s">
        <v>673</v>
      </c>
      <c r="K160" s="57" t="s">
        <v>267</v>
      </c>
      <c r="L160" s="58" t="s">
        <v>311</v>
      </c>
      <c r="M160" s="59">
        <v>46442</v>
      </c>
      <c r="N160" s="60">
        <v>46468</v>
      </c>
    </row>
    <row r="161" spans="2:14" hidden="1" x14ac:dyDescent="0.3">
      <c r="B161" s="56" t="s">
        <v>263</v>
      </c>
      <c r="C161" s="57" t="s">
        <v>555</v>
      </c>
      <c r="D161" s="57" t="s">
        <v>283</v>
      </c>
      <c r="E161" s="57" t="s">
        <v>671</v>
      </c>
      <c r="F161" s="57" t="s">
        <v>560</v>
      </c>
      <c r="G161" t="s">
        <v>560</v>
      </c>
      <c r="H161" t="s">
        <v>560</v>
      </c>
      <c r="I161" s="57" t="s">
        <v>674</v>
      </c>
      <c r="J161" s="57" t="s">
        <v>675</v>
      </c>
      <c r="K161" s="57" t="s">
        <v>267</v>
      </c>
      <c r="L161" s="58" t="s">
        <v>311</v>
      </c>
      <c r="M161" s="59">
        <v>46557</v>
      </c>
      <c r="N161" s="60">
        <v>46580</v>
      </c>
    </row>
    <row r="162" spans="2:14" hidden="1" x14ac:dyDescent="0.3">
      <c r="B162" s="56" t="s">
        <v>263</v>
      </c>
      <c r="C162" s="57" t="s">
        <v>555</v>
      </c>
      <c r="D162" s="57" t="s">
        <v>283</v>
      </c>
      <c r="E162" s="57" t="s">
        <v>671</v>
      </c>
      <c r="F162" s="57" t="s">
        <v>563</v>
      </c>
      <c r="G162" t="s">
        <v>563</v>
      </c>
      <c r="H162" t="s">
        <v>563</v>
      </c>
      <c r="I162" s="57" t="s">
        <v>676</v>
      </c>
      <c r="J162" s="57" t="s">
        <v>677</v>
      </c>
      <c r="K162" s="57" t="s">
        <v>267</v>
      </c>
      <c r="L162" s="58" t="s">
        <v>311</v>
      </c>
      <c r="M162" s="59">
        <v>46594</v>
      </c>
      <c r="N162" s="60">
        <v>46617</v>
      </c>
    </row>
    <row r="163" spans="2:14" hidden="1" x14ac:dyDescent="0.3">
      <c r="B163" s="56" t="s">
        <v>263</v>
      </c>
      <c r="C163" s="57" t="s">
        <v>555</v>
      </c>
      <c r="D163" s="57" t="s">
        <v>283</v>
      </c>
      <c r="E163" s="57" t="s">
        <v>671</v>
      </c>
      <c r="F163" s="57" t="s">
        <v>566</v>
      </c>
      <c r="G163" t="s">
        <v>566</v>
      </c>
      <c r="H163" t="s">
        <v>566</v>
      </c>
      <c r="I163" s="57" t="s">
        <v>678</v>
      </c>
      <c r="J163" s="57" t="s">
        <v>679</v>
      </c>
      <c r="K163" s="57" t="s">
        <v>267</v>
      </c>
      <c r="L163" s="58" t="s">
        <v>311</v>
      </c>
      <c r="M163" s="59">
        <v>46604</v>
      </c>
      <c r="N163" s="60">
        <v>46628</v>
      </c>
    </row>
    <row r="164" spans="2:14" hidden="1" x14ac:dyDescent="0.3">
      <c r="B164" s="56" t="s">
        <v>263</v>
      </c>
      <c r="C164" s="57" t="s">
        <v>555</v>
      </c>
      <c r="D164" s="57" t="s">
        <v>283</v>
      </c>
      <c r="E164" s="57" t="s">
        <v>671</v>
      </c>
      <c r="F164" s="57" t="s">
        <v>569</v>
      </c>
      <c r="G164" t="s">
        <v>569</v>
      </c>
      <c r="H164" t="s">
        <v>569</v>
      </c>
      <c r="I164" s="57" t="s">
        <v>680</v>
      </c>
      <c r="J164" s="57" t="s">
        <v>681</v>
      </c>
      <c r="K164" s="57" t="s">
        <v>267</v>
      </c>
      <c r="L164" s="58" t="s">
        <v>311</v>
      </c>
      <c r="M164" s="59">
        <v>46604</v>
      </c>
      <c r="N164" s="60">
        <v>46628</v>
      </c>
    </row>
    <row r="165" spans="2:14" hidden="1" x14ac:dyDescent="0.3">
      <c r="B165" s="56" t="s">
        <v>263</v>
      </c>
      <c r="C165" s="57" t="s">
        <v>555</v>
      </c>
      <c r="D165" s="57" t="s">
        <v>283</v>
      </c>
      <c r="E165" s="57" t="s">
        <v>682</v>
      </c>
      <c r="F165" s="57" t="s">
        <v>557</v>
      </c>
      <c r="G165" t="s">
        <v>557</v>
      </c>
      <c r="H165" t="s">
        <v>557</v>
      </c>
      <c r="I165" s="57" t="s">
        <v>683</v>
      </c>
      <c r="J165" s="57" t="s">
        <v>684</v>
      </c>
      <c r="K165" s="57" t="s">
        <v>267</v>
      </c>
      <c r="L165" s="58" t="s">
        <v>311</v>
      </c>
      <c r="M165" s="59">
        <v>46477</v>
      </c>
      <c r="N165" s="60">
        <v>46501</v>
      </c>
    </row>
    <row r="166" spans="2:14" hidden="1" x14ac:dyDescent="0.3">
      <c r="B166" s="56" t="s">
        <v>263</v>
      </c>
      <c r="C166" s="57" t="s">
        <v>555</v>
      </c>
      <c r="D166" s="57" t="s">
        <v>283</v>
      </c>
      <c r="E166" s="57" t="s">
        <v>682</v>
      </c>
      <c r="F166" s="57" t="s">
        <v>560</v>
      </c>
      <c r="G166" t="s">
        <v>560</v>
      </c>
      <c r="H166" t="s">
        <v>560</v>
      </c>
      <c r="I166" s="57" t="s">
        <v>685</v>
      </c>
      <c r="J166" s="57" t="s">
        <v>686</v>
      </c>
      <c r="K166" s="57" t="s">
        <v>267</v>
      </c>
      <c r="L166" s="58" t="s">
        <v>311</v>
      </c>
      <c r="M166" s="59">
        <v>46581</v>
      </c>
      <c r="N166" s="60">
        <v>46604</v>
      </c>
    </row>
    <row r="167" spans="2:14" hidden="1" x14ac:dyDescent="0.3">
      <c r="B167" s="56" t="s">
        <v>263</v>
      </c>
      <c r="C167" s="57" t="s">
        <v>555</v>
      </c>
      <c r="D167" s="57" t="s">
        <v>283</v>
      </c>
      <c r="E167" s="57" t="s">
        <v>682</v>
      </c>
      <c r="F167" s="57" t="s">
        <v>563</v>
      </c>
      <c r="G167" t="s">
        <v>563</v>
      </c>
      <c r="H167" t="s">
        <v>563</v>
      </c>
      <c r="I167" s="57" t="s">
        <v>687</v>
      </c>
      <c r="J167" s="57" t="s">
        <v>688</v>
      </c>
      <c r="K167" s="57" t="s">
        <v>267</v>
      </c>
      <c r="L167" s="58" t="s">
        <v>311</v>
      </c>
      <c r="M167" s="59">
        <v>46618</v>
      </c>
      <c r="N167" s="60">
        <v>46642</v>
      </c>
    </row>
    <row r="168" spans="2:14" hidden="1" x14ac:dyDescent="0.3">
      <c r="B168" s="56" t="s">
        <v>263</v>
      </c>
      <c r="C168" s="57" t="s">
        <v>555</v>
      </c>
      <c r="D168" s="57" t="s">
        <v>283</v>
      </c>
      <c r="E168" s="57" t="s">
        <v>682</v>
      </c>
      <c r="F168" s="57" t="s">
        <v>566</v>
      </c>
      <c r="G168" t="s">
        <v>566</v>
      </c>
      <c r="H168" t="s">
        <v>566</v>
      </c>
      <c r="I168" s="57" t="s">
        <v>689</v>
      </c>
      <c r="J168" s="57" t="s">
        <v>690</v>
      </c>
      <c r="K168" s="57" t="s">
        <v>267</v>
      </c>
      <c r="L168" s="58" t="s">
        <v>311</v>
      </c>
      <c r="M168" s="59">
        <v>46629</v>
      </c>
      <c r="N168" s="60">
        <v>46652</v>
      </c>
    </row>
    <row r="169" spans="2:14" hidden="1" x14ac:dyDescent="0.3">
      <c r="B169" s="56" t="s">
        <v>263</v>
      </c>
      <c r="C169" s="57" t="s">
        <v>555</v>
      </c>
      <c r="D169" s="57" t="s">
        <v>283</v>
      </c>
      <c r="E169" s="57" t="s">
        <v>682</v>
      </c>
      <c r="F169" s="57" t="s">
        <v>569</v>
      </c>
      <c r="G169" t="s">
        <v>569</v>
      </c>
      <c r="H169" t="s">
        <v>569</v>
      </c>
      <c r="I169" s="57" t="s">
        <v>691</v>
      </c>
      <c r="J169" s="57" t="s">
        <v>692</v>
      </c>
      <c r="K169" s="57" t="s">
        <v>267</v>
      </c>
      <c r="L169" s="58" t="s">
        <v>311</v>
      </c>
      <c r="M169" s="59">
        <v>46645</v>
      </c>
      <c r="N169" s="60">
        <v>46670</v>
      </c>
    </row>
    <row r="170" spans="2:14" hidden="1" x14ac:dyDescent="0.3">
      <c r="B170" s="56" t="s">
        <v>263</v>
      </c>
      <c r="C170" s="57" t="s">
        <v>555</v>
      </c>
      <c r="D170" s="57" t="s">
        <v>290</v>
      </c>
      <c r="E170" s="57" t="s">
        <v>693</v>
      </c>
      <c r="F170" s="57" t="s">
        <v>694</v>
      </c>
      <c r="G170" t="s">
        <v>557</v>
      </c>
      <c r="H170" t="s">
        <v>557</v>
      </c>
      <c r="I170" s="57" t="s">
        <v>695</v>
      </c>
      <c r="J170" s="57" t="s">
        <v>696</v>
      </c>
      <c r="K170" s="57" t="s">
        <v>267</v>
      </c>
      <c r="L170" s="58" t="s">
        <v>307</v>
      </c>
      <c r="M170" s="59">
        <v>46338</v>
      </c>
      <c r="N170" s="60">
        <v>46370</v>
      </c>
    </row>
    <row r="171" spans="2:14" hidden="1" x14ac:dyDescent="0.3">
      <c r="B171" s="56" t="s">
        <v>263</v>
      </c>
      <c r="C171" s="57" t="s">
        <v>555</v>
      </c>
      <c r="D171" s="57" t="s">
        <v>290</v>
      </c>
      <c r="E171" s="57" t="s">
        <v>693</v>
      </c>
      <c r="F171" s="57" t="s">
        <v>694</v>
      </c>
      <c r="G171" t="s">
        <v>560</v>
      </c>
      <c r="H171" t="s">
        <v>560</v>
      </c>
      <c r="I171" s="57" t="s">
        <v>695</v>
      </c>
      <c r="J171" s="57" t="s">
        <v>697</v>
      </c>
      <c r="K171" s="57" t="s">
        <v>267</v>
      </c>
      <c r="L171" s="58" t="s">
        <v>307</v>
      </c>
      <c r="M171" s="59">
        <v>46482</v>
      </c>
      <c r="N171" s="60">
        <v>46513</v>
      </c>
    </row>
    <row r="172" spans="2:14" hidden="1" x14ac:dyDescent="0.3">
      <c r="B172" s="56" t="s">
        <v>263</v>
      </c>
      <c r="C172" s="57" t="s">
        <v>555</v>
      </c>
      <c r="D172" s="57" t="s">
        <v>290</v>
      </c>
      <c r="E172" s="57" t="s">
        <v>693</v>
      </c>
      <c r="F172" s="57" t="s">
        <v>694</v>
      </c>
      <c r="G172" t="s">
        <v>566</v>
      </c>
      <c r="H172" t="s">
        <v>566</v>
      </c>
      <c r="I172" s="57" t="s">
        <v>695</v>
      </c>
      <c r="J172" s="57" t="s">
        <v>698</v>
      </c>
      <c r="K172" s="57" t="s">
        <v>267</v>
      </c>
      <c r="L172" s="58" t="s">
        <v>307</v>
      </c>
      <c r="M172" s="59">
        <v>46431</v>
      </c>
      <c r="N172" s="60">
        <v>46466</v>
      </c>
    </row>
    <row r="173" spans="2:14" hidden="1" x14ac:dyDescent="0.3">
      <c r="B173" s="56" t="s">
        <v>263</v>
      </c>
      <c r="C173" s="57" t="s">
        <v>555</v>
      </c>
      <c r="D173" s="57" t="s">
        <v>290</v>
      </c>
      <c r="E173" s="57" t="s">
        <v>693</v>
      </c>
      <c r="F173" s="57" t="s">
        <v>699</v>
      </c>
      <c r="G173" t="s">
        <v>557</v>
      </c>
      <c r="H173" t="s">
        <v>557</v>
      </c>
      <c r="I173" s="57" t="s">
        <v>700</v>
      </c>
      <c r="J173" s="57" t="s">
        <v>701</v>
      </c>
      <c r="K173" s="57" t="s">
        <v>267</v>
      </c>
      <c r="L173" s="58" t="s">
        <v>307</v>
      </c>
      <c r="M173" s="59">
        <v>46371</v>
      </c>
      <c r="N173" s="60">
        <v>46403</v>
      </c>
    </row>
    <row r="174" spans="2:14" hidden="1" x14ac:dyDescent="0.3">
      <c r="B174" s="56" t="s">
        <v>263</v>
      </c>
      <c r="C174" s="57" t="s">
        <v>555</v>
      </c>
      <c r="D174" s="57" t="s">
        <v>290</v>
      </c>
      <c r="E174" s="57" t="s">
        <v>693</v>
      </c>
      <c r="F174" s="57" t="s">
        <v>699</v>
      </c>
      <c r="G174" t="s">
        <v>560</v>
      </c>
      <c r="H174" t="s">
        <v>560</v>
      </c>
      <c r="I174" s="57" t="s">
        <v>700</v>
      </c>
      <c r="J174" s="57" t="s">
        <v>702</v>
      </c>
      <c r="K174" s="57" t="s">
        <v>267</v>
      </c>
      <c r="L174" s="58" t="s">
        <v>307</v>
      </c>
      <c r="M174" s="59">
        <v>46515</v>
      </c>
      <c r="N174" s="60">
        <v>46551</v>
      </c>
    </row>
    <row r="175" spans="2:14" hidden="1" x14ac:dyDescent="0.3">
      <c r="B175" s="56" t="s">
        <v>263</v>
      </c>
      <c r="C175" s="57" t="s">
        <v>555</v>
      </c>
      <c r="D175" s="57" t="s">
        <v>290</v>
      </c>
      <c r="E175" s="57" t="s">
        <v>693</v>
      </c>
      <c r="F175" s="57" t="s">
        <v>699</v>
      </c>
      <c r="G175" t="s">
        <v>563</v>
      </c>
      <c r="H175" t="s">
        <v>563</v>
      </c>
      <c r="I175" s="57" t="s">
        <v>700</v>
      </c>
      <c r="J175" s="57" t="s">
        <v>703</v>
      </c>
      <c r="K175" s="57" t="s">
        <v>267</v>
      </c>
      <c r="L175" s="58" t="s">
        <v>307</v>
      </c>
      <c r="M175" s="59">
        <v>46537</v>
      </c>
      <c r="N175" s="60">
        <v>46568</v>
      </c>
    </row>
    <row r="176" spans="2:14" hidden="1" x14ac:dyDescent="0.3">
      <c r="B176" s="56" t="s">
        <v>263</v>
      </c>
      <c r="C176" s="57" t="s">
        <v>555</v>
      </c>
      <c r="D176" s="57" t="s">
        <v>290</v>
      </c>
      <c r="E176" s="57" t="s">
        <v>693</v>
      </c>
      <c r="F176" s="57" t="s">
        <v>699</v>
      </c>
      <c r="G176" t="s">
        <v>566</v>
      </c>
      <c r="H176" t="s">
        <v>566</v>
      </c>
      <c r="I176" s="57" t="s">
        <v>700</v>
      </c>
      <c r="J176" s="57" t="s">
        <v>704</v>
      </c>
      <c r="K176" s="57" t="s">
        <v>267</v>
      </c>
      <c r="L176" s="58" t="s">
        <v>307</v>
      </c>
      <c r="M176" s="59">
        <v>46547</v>
      </c>
      <c r="N176" s="60">
        <v>46579</v>
      </c>
    </row>
    <row r="177" spans="2:14" hidden="1" x14ac:dyDescent="0.3">
      <c r="B177" s="56" t="s">
        <v>263</v>
      </c>
      <c r="C177" s="57" t="s">
        <v>555</v>
      </c>
      <c r="D177" s="57" t="s">
        <v>290</v>
      </c>
      <c r="E177" s="57" t="s">
        <v>693</v>
      </c>
      <c r="F177" s="57" t="s">
        <v>705</v>
      </c>
      <c r="G177" t="s">
        <v>557</v>
      </c>
      <c r="H177" t="s">
        <v>557</v>
      </c>
      <c r="I177" s="57" t="s">
        <v>706</v>
      </c>
      <c r="J177" s="57" t="s">
        <v>707</v>
      </c>
      <c r="K177" s="57" t="s">
        <v>267</v>
      </c>
      <c r="L177" s="58" t="s">
        <v>307</v>
      </c>
      <c r="M177" s="59">
        <v>46404</v>
      </c>
      <c r="N177" s="60">
        <v>46435</v>
      </c>
    </row>
    <row r="178" spans="2:14" hidden="1" x14ac:dyDescent="0.3">
      <c r="B178" s="56" t="s">
        <v>263</v>
      </c>
      <c r="C178" s="57" t="s">
        <v>555</v>
      </c>
      <c r="D178" s="57" t="s">
        <v>290</v>
      </c>
      <c r="E178" s="57" t="s">
        <v>693</v>
      </c>
      <c r="F178" s="57" t="s">
        <v>705</v>
      </c>
      <c r="G178" t="s">
        <v>560</v>
      </c>
      <c r="H178" t="s">
        <v>560</v>
      </c>
      <c r="I178" s="57" t="s">
        <v>706</v>
      </c>
      <c r="J178" s="57" t="s">
        <v>708</v>
      </c>
      <c r="K178" s="57" t="s">
        <v>267</v>
      </c>
      <c r="L178" s="58" t="s">
        <v>307</v>
      </c>
      <c r="M178" s="59">
        <v>46552</v>
      </c>
      <c r="N178" s="60">
        <v>46583</v>
      </c>
    </row>
    <row r="179" spans="2:14" hidden="1" x14ac:dyDescent="0.3">
      <c r="B179" s="56" t="s">
        <v>263</v>
      </c>
      <c r="C179" s="57" t="s">
        <v>555</v>
      </c>
      <c r="D179" s="57" t="s">
        <v>290</v>
      </c>
      <c r="E179" s="57" t="s">
        <v>693</v>
      </c>
      <c r="F179" s="57" t="s">
        <v>705</v>
      </c>
      <c r="G179" t="s">
        <v>566</v>
      </c>
      <c r="H179" t="s">
        <v>566</v>
      </c>
      <c r="I179" s="57" t="s">
        <v>706</v>
      </c>
      <c r="J179" s="57" t="s">
        <v>709</v>
      </c>
      <c r="K179" s="57" t="s">
        <v>267</v>
      </c>
      <c r="L179" s="58" t="s">
        <v>307</v>
      </c>
      <c r="M179" s="59">
        <v>46580</v>
      </c>
      <c r="N179" s="60">
        <v>46611</v>
      </c>
    </row>
    <row r="180" spans="2:14" hidden="1" x14ac:dyDescent="0.3">
      <c r="B180" s="56" t="s">
        <v>263</v>
      </c>
      <c r="C180" s="57" t="s">
        <v>555</v>
      </c>
      <c r="D180" s="57" t="s">
        <v>290</v>
      </c>
      <c r="E180" s="57" t="s">
        <v>710</v>
      </c>
      <c r="F180" s="57" t="s">
        <v>711</v>
      </c>
      <c r="G180" t="s">
        <v>557</v>
      </c>
      <c r="H180" t="s">
        <v>557</v>
      </c>
      <c r="I180" s="57" t="s">
        <v>712</v>
      </c>
      <c r="J180" s="57" t="s">
        <v>713</v>
      </c>
      <c r="K180" s="57" t="s">
        <v>267</v>
      </c>
      <c r="L180" s="58" t="s">
        <v>307</v>
      </c>
      <c r="M180" s="59">
        <v>46350</v>
      </c>
      <c r="N180" s="60">
        <v>46382</v>
      </c>
    </row>
    <row r="181" spans="2:14" hidden="1" x14ac:dyDescent="0.3">
      <c r="B181" s="56" t="s">
        <v>263</v>
      </c>
      <c r="C181" s="57" t="s">
        <v>555</v>
      </c>
      <c r="D181" s="57" t="s">
        <v>290</v>
      </c>
      <c r="E181" s="57" t="s">
        <v>710</v>
      </c>
      <c r="F181" s="57" t="s">
        <v>711</v>
      </c>
      <c r="G181" t="s">
        <v>560</v>
      </c>
      <c r="H181" t="s">
        <v>560</v>
      </c>
      <c r="I181" s="57" t="s">
        <v>712</v>
      </c>
      <c r="J181" s="57" t="s">
        <v>714</v>
      </c>
      <c r="K181" s="57" t="s">
        <v>267</v>
      </c>
      <c r="L181" s="58" t="s">
        <v>307</v>
      </c>
      <c r="M181" s="59">
        <v>46449</v>
      </c>
      <c r="N181" s="60">
        <v>46483</v>
      </c>
    </row>
    <row r="182" spans="2:14" hidden="1" x14ac:dyDescent="0.3">
      <c r="B182" s="56" t="s">
        <v>263</v>
      </c>
      <c r="C182" s="57" t="s">
        <v>555</v>
      </c>
      <c r="D182" s="57" t="s">
        <v>290</v>
      </c>
      <c r="E182" s="57" t="s">
        <v>710</v>
      </c>
      <c r="F182" s="57" t="s">
        <v>711</v>
      </c>
      <c r="G182" t="s">
        <v>563</v>
      </c>
      <c r="H182" t="s">
        <v>563</v>
      </c>
      <c r="I182" s="57" t="s">
        <v>712</v>
      </c>
      <c r="J182" s="57" t="s">
        <v>715</v>
      </c>
      <c r="K182" s="57" t="s">
        <v>267</v>
      </c>
      <c r="L182" s="58" t="s">
        <v>307</v>
      </c>
      <c r="M182" s="59">
        <v>46467</v>
      </c>
      <c r="N182" s="60">
        <v>46498</v>
      </c>
    </row>
    <row r="183" spans="2:14" hidden="1" x14ac:dyDescent="0.3">
      <c r="B183" s="56" t="s">
        <v>263</v>
      </c>
      <c r="C183" s="57" t="s">
        <v>555</v>
      </c>
      <c r="D183" s="57" t="s">
        <v>290</v>
      </c>
      <c r="E183" s="57" t="s">
        <v>710</v>
      </c>
      <c r="F183" s="57" t="s">
        <v>711</v>
      </c>
      <c r="G183" t="s">
        <v>566</v>
      </c>
      <c r="H183" t="s">
        <v>566</v>
      </c>
      <c r="I183" s="57" t="s">
        <v>712</v>
      </c>
      <c r="J183" s="57" t="s">
        <v>716</v>
      </c>
      <c r="K183" s="57" t="s">
        <v>267</v>
      </c>
      <c r="L183" s="58" t="s">
        <v>307</v>
      </c>
      <c r="M183" s="59">
        <v>46467</v>
      </c>
      <c r="N183" s="60">
        <v>46498</v>
      </c>
    </row>
    <row r="184" spans="2:14" hidden="1" x14ac:dyDescent="0.3">
      <c r="B184" s="56" t="s">
        <v>263</v>
      </c>
      <c r="C184" s="57" t="s">
        <v>555</v>
      </c>
      <c r="D184" s="57" t="s">
        <v>290</v>
      </c>
      <c r="E184" s="57" t="s">
        <v>710</v>
      </c>
      <c r="F184" s="57" t="s">
        <v>717</v>
      </c>
      <c r="G184" t="s">
        <v>557</v>
      </c>
      <c r="H184" t="s">
        <v>557</v>
      </c>
      <c r="I184" s="57" t="s">
        <v>718</v>
      </c>
      <c r="J184" s="57" t="s">
        <v>719</v>
      </c>
      <c r="K184" s="57" t="s">
        <v>267</v>
      </c>
      <c r="L184" s="58" t="s">
        <v>307</v>
      </c>
      <c r="M184" s="59">
        <v>46310</v>
      </c>
      <c r="N184" s="60">
        <v>46342</v>
      </c>
    </row>
    <row r="185" spans="2:14" hidden="1" x14ac:dyDescent="0.3">
      <c r="B185" s="56" t="s">
        <v>263</v>
      </c>
      <c r="C185" s="57" t="s">
        <v>555</v>
      </c>
      <c r="D185" s="57" t="s">
        <v>290</v>
      </c>
      <c r="E185" s="57" t="s">
        <v>710</v>
      </c>
      <c r="F185" s="57" t="s">
        <v>717</v>
      </c>
      <c r="G185" t="s">
        <v>560</v>
      </c>
      <c r="H185" t="s">
        <v>560</v>
      </c>
      <c r="I185" s="57" t="s">
        <v>718</v>
      </c>
      <c r="J185" s="57" t="s">
        <v>720</v>
      </c>
      <c r="K185" s="57" t="s">
        <v>267</v>
      </c>
      <c r="L185" s="58" t="s">
        <v>307</v>
      </c>
      <c r="M185" s="59">
        <v>46495</v>
      </c>
      <c r="N185" s="60">
        <v>46531</v>
      </c>
    </row>
    <row r="186" spans="2:14" hidden="1" x14ac:dyDescent="0.3">
      <c r="B186" s="56" t="s">
        <v>263</v>
      </c>
      <c r="C186" s="57" t="s">
        <v>555</v>
      </c>
      <c r="D186" s="57" t="s">
        <v>290</v>
      </c>
      <c r="E186" s="57" t="s">
        <v>710</v>
      </c>
      <c r="F186" s="57" t="s">
        <v>717</v>
      </c>
      <c r="G186" t="s">
        <v>566</v>
      </c>
      <c r="H186" t="s">
        <v>566</v>
      </c>
      <c r="I186" s="57" t="s">
        <v>718</v>
      </c>
      <c r="J186" s="57" t="s">
        <v>721</v>
      </c>
      <c r="K186" s="57" t="s">
        <v>267</v>
      </c>
      <c r="L186" s="58" t="s">
        <v>307</v>
      </c>
      <c r="M186" s="59">
        <v>46547</v>
      </c>
      <c r="N186" s="60">
        <v>46579</v>
      </c>
    </row>
    <row r="187" spans="2:14" hidden="1" x14ac:dyDescent="0.3">
      <c r="B187" s="56" t="s">
        <v>263</v>
      </c>
      <c r="C187" s="57" t="s">
        <v>555</v>
      </c>
      <c r="D187" s="57" t="s">
        <v>290</v>
      </c>
      <c r="E187" s="57" t="s">
        <v>710</v>
      </c>
      <c r="F187" s="57" t="s">
        <v>722</v>
      </c>
      <c r="G187" t="s">
        <v>557</v>
      </c>
      <c r="H187" t="s">
        <v>557</v>
      </c>
      <c r="I187" s="57" t="s">
        <v>723</v>
      </c>
      <c r="J187" s="57" t="s">
        <v>724</v>
      </c>
      <c r="K187" s="57" t="s">
        <v>267</v>
      </c>
      <c r="L187" s="58" t="s">
        <v>307</v>
      </c>
      <c r="M187" s="59">
        <v>46415</v>
      </c>
      <c r="N187" s="60">
        <v>46448</v>
      </c>
    </row>
    <row r="188" spans="2:14" hidden="1" x14ac:dyDescent="0.3">
      <c r="B188" s="56" t="s">
        <v>263</v>
      </c>
      <c r="C188" s="57" t="s">
        <v>555</v>
      </c>
      <c r="D188" s="57" t="s">
        <v>290</v>
      </c>
      <c r="E188" s="57" t="s">
        <v>710</v>
      </c>
      <c r="F188" s="57" t="s">
        <v>722</v>
      </c>
      <c r="G188" t="s">
        <v>560</v>
      </c>
      <c r="H188" t="s">
        <v>560</v>
      </c>
      <c r="I188" s="57" t="s">
        <v>723</v>
      </c>
      <c r="J188" s="57" t="s">
        <v>725</v>
      </c>
      <c r="K188" s="57" t="s">
        <v>267</v>
      </c>
      <c r="L188" s="58" t="s">
        <v>307</v>
      </c>
      <c r="M188" s="59">
        <v>46532</v>
      </c>
      <c r="N188" s="60">
        <v>46564</v>
      </c>
    </row>
    <row r="189" spans="2:14" hidden="1" x14ac:dyDescent="0.3">
      <c r="B189" s="56" t="s">
        <v>263</v>
      </c>
      <c r="C189" s="57" t="s">
        <v>555</v>
      </c>
      <c r="D189" s="57" t="s">
        <v>290</v>
      </c>
      <c r="E189" s="57" t="s">
        <v>710</v>
      </c>
      <c r="F189" s="57" t="s">
        <v>722</v>
      </c>
      <c r="G189" t="s">
        <v>566</v>
      </c>
      <c r="H189" t="s">
        <v>566</v>
      </c>
      <c r="I189" s="57" t="s">
        <v>723</v>
      </c>
      <c r="J189" s="57" t="s">
        <v>726</v>
      </c>
      <c r="K189" s="57" t="s">
        <v>267</v>
      </c>
      <c r="L189" s="58" t="s">
        <v>307</v>
      </c>
      <c r="M189" s="59">
        <v>46580</v>
      </c>
      <c r="N189" s="60">
        <v>46611</v>
      </c>
    </row>
    <row r="190" spans="2:14" hidden="1" x14ac:dyDescent="0.3">
      <c r="B190" s="56" t="s">
        <v>263</v>
      </c>
      <c r="C190" s="57" t="s">
        <v>555</v>
      </c>
      <c r="D190" s="57" t="s">
        <v>290</v>
      </c>
      <c r="E190" s="57" t="s">
        <v>727</v>
      </c>
      <c r="F190" s="57" t="s">
        <v>728</v>
      </c>
      <c r="G190" t="s">
        <v>557</v>
      </c>
      <c r="H190" t="s">
        <v>557</v>
      </c>
      <c r="I190" s="57" t="s">
        <v>729</v>
      </c>
      <c r="J190" s="57" t="s">
        <v>730</v>
      </c>
      <c r="K190" s="57" t="s">
        <v>267</v>
      </c>
      <c r="L190" s="58" t="s">
        <v>307</v>
      </c>
      <c r="M190" s="59">
        <v>46211</v>
      </c>
      <c r="N190" s="60">
        <v>46243</v>
      </c>
    </row>
    <row r="191" spans="2:14" hidden="1" x14ac:dyDescent="0.3">
      <c r="B191" s="56" t="s">
        <v>263</v>
      </c>
      <c r="C191" s="57" t="s">
        <v>555</v>
      </c>
      <c r="D191" s="57" t="s">
        <v>290</v>
      </c>
      <c r="E191" s="57" t="s">
        <v>727</v>
      </c>
      <c r="F191" s="57" t="s">
        <v>728</v>
      </c>
      <c r="G191" t="s">
        <v>560</v>
      </c>
      <c r="H191" t="s">
        <v>560</v>
      </c>
      <c r="I191" s="57" t="s">
        <v>729</v>
      </c>
      <c r="J191" s="57" t="s">
        <v>731</v>
      </c>
      <c r="K191" s="57" t="s">
        <v>267</v>
      </c>
      <c r="L191" s="58" t="s">
        <v>307</v>
      </c>
      <c r="M191" s="59">
        <v>46244</v>
      </c>
      <c r="N191" s="60">
        <v>46275</v>
      </c>
    </row>
    <row r="192" spans="2:14" hidden="1" x14ac:dyDescent="0.3">
      <c r="B192" s="56" t="s">
        <v>263</v>
      </c>
      <c r="C192" s="57" t="s">
        <v>555</v>
      </c>
      <c r="D192" s="57" t="s">
        <v>290</v>
      </c>
      <c r="E192" s="57" t="s">
        <v>727</v>
      </c>
      <c r="F192" s="57" t="s">
        <v>728</v>
      </c>
      <c r="G192" t="s">
        <v>563</v>
      </c>
      <c r="H192" t="s">
        <v>563</v>
      </c>
      <c r="I192" s="57" t="s">
        <v>729</v>
      </c>
      <c r="J192" s="57" t="s">
        <v>732</v>
      </c>
      <c r="K192" s="57" t="s">
        <v>267</v>
      </c>
      <c r="L192" s="58" t="s">
        <v>307</v>
      </c>
      <c r="M192" s="59">
        <v>46499</v>
      </c>
      <c r="N192" s="60">
        <v>46536</v>
      </c>
    </row>
    <row r="193" spans="2:14" hidden="1" x14ac:dyDescent="0.3">
      <c r="B193" s="56" t="s">
        <v>263</v>
      </c>
      <c r="C193" s="57" t="s">
        <v>555</v>
      </c>
      <c r="D193" s="57" t="s">
        <v>290</v>
      </c>
      <c r="E193" s="57" t="s">
        <v>727</v>
      </c>
      <c r="F193" s="57" t="s">
        <v>728</v>
      </c>
      <c r="G193" t="s">
        <v>566</v>
      </c>
      <c r="H193" t="s">
        <v>566</v>
      </c>
      <c r="I193" s="57" t="s">
        <v>729</v>
      </c>
      <c r="J193" s="57" t="s">
        <v>733</v>
      </c>
      <c r="K193" s="57" t="s">
        <v>267</v>
      </c>
      <c r="L193" s="58" t="s">
        <v>307</v>
      </c>
      <c r="M193" s="59">
        <v>46499</v>
      </c>
      <c r="N193" s="60">
        <v>46536</v>
      </c>
    </row>
    <row r="194" spans="2:14" hidden="1" x14ac:dyDescent="0.3">
      <c r="B194" s="56" t="s">
        <v>263</v>
      </c>
      <c r="C194" s="57" t="s">
        <v>555</v>
      </c>
      <c r="D194" s="57" t="s">
        <v>290</v>
      </c>
      <c r="E194" s="57" t="s">
        <v>727</v>
      </c>
      <c r="F194" s="57" t="s">
        <v>734</v>
      </c>
      <c r="G194" t="s">
        <v>557</v>
      </c>
      <c r="H194" t="s">
        <v>557</v>
      </c>
      <c r="I194" s="57" t="s">
        <v>735</v>
      </c>
      <c r="J194" s="57" t="s">
        <v>736</v>
      </c>
      <c r="K194" s="57" t="s">
        <v>267</v>
      </c>
      <c r="L194" s="58" t="s">
        <v>307</v>
      </c>
      <c r="M194" s="59">
        <v>46310</v>
      </c>
      <c r="N194" s="60">
        <v>46342</v>
      </c>
    </row>
    <row r="195" spans="2:14" hidden="1" x14ac:dyDescent="0.3">
      <c r="B195" s="56" t="s">
        <v>263</v>
      </c>
      <c r="C195" s="57" t="s">
        <v>555</v>
      </c>
      <c r="D195" s="57" t="s">
        <v>290</v>
      </c>
      <c r="E195" s="57" t="s">
        <v>727</v>
      </c>
      <c r="F195" s="57" t="s">
        <v>734</v>
      </c>
      <c r="G195" t="s">
        <v>560</v>
      </c>
      <c r="H195" t="s">
        <v>560</v>
      </c>
      <c r="I195" s="57" t="s">
        <v>735</v>
      </c>
      <c r="J195" s="57" t="s">
        <v>737</v>
      </c>
      <c r="K195" s="57" t="s">
        <v>267</v>
      </c>
      <c r="L195" s="58" t="s">
        <v>307</v>
      </c>
      <c r="M195" s="59">
        <v>46495</v>
      </c>
      <c r="N195" s="60">
        <v>46531</v>
      </c>
    </row>
    <row r="196" spans="2:14" hidden="1" x14ac:dyDescent="0.3">
      <c r="B196" s="56" t="s">
        <v>263</v>
      </c>
      <c r="C196" s="57" t="s">
        <v>555</v>
      </c>
      <c r="D196" s="57" t="s">
        <v>290</v>
      </c>
      <c r="E196" s="57" t="s">
        <v>727</v>
      </c>
      <c r="F196" s="57" t="s">
        <v>734</v>
      </c>
      <c r="G196" t="s">
        <v>566</v>
      </c>
      <c r="H196" t="s">
        <v>566</v>
      </c>
      <c r="I196" s="57" t="s">
        <v>735</v>
      </c>
      <c r="J196" s="57" t="s">
        <v>738</v>
      </c>
      <c r="K196" s="57" t="s">
        <v>267</v>
      </c>
      <c r="L196" s="58" t="s">
        <v>307</v>
      </c>
      <c r="M196" s="59">
        <v>46547</v>
      </c>
      <c r="N196" s="60">
        <v>46579</v>
      </c>
    </row>
    <row r="197" spans="2:14" hidden="1" x14ac:dyDescent="0.3">
      <c r="B197" s="56" t="s">
        <v>263</v>
      </c>
      <c r="C197" s="57" t="s">
        <v>555</v>
      </c>
      <c r="D197" s="57" t="s">
        <v>290</v>
      </c>
      <c r="E197" s="57" t="s">
        <v>739</v>
      </c>
      <c r="F197" s="57" t="s">
        <v>740</v>
      </c>
      <c r="G197" t="s">
        <v>557</v>
      </c>
      <c r="H197" t="s">
        <v>557</v>
      </c>
      <c r="I197" s="57" t="s">
        <v>741</v>
      </c>
      <c r="J197" s="57" t="s">
        <v>742</v>
      </c>
      <c r="K197" s="57" t="s">
        <v>267</v>
      </c>
      <c r="L197" s="58" t="s">
        <v>307</v>
      </c>
      <c r="M197" s="59">
        <v>46223</v>
      </c>
      <c r="N197" s="60">
        <v>46254</v>
      </c>
    </row>
    <row r="198" spans="2:14" hidden="1" x14ac:dyDescent="0.3">
      <c r="B198" s="56" t="s">
        <v>263</v>
      </c>
      <c r="C198" s="57" t="s">
        <v>555</v>
      </c>
      <c r="D198" s="57" t="s">
        <v>290</v>
      </c>
      <c r="E198" s="57" t="s">
        <v>739</v>
      </c>
      <c r="F198" s="57" t="s">
        <v>740</v>
      </c>
      <c r="G198" t="s">
        <v>560</v>
      </c>
      <c r="H198" t="s">
        <v>560</v>
      </c>
      <c r="I198" s="57" t="s">
        <v>741</v>
      </c>
      <c r="J198" s="57" t="s">
        <v>743</v>
      </c>
      <c r="K198" s="57" t="s">
        <v>267</v>
      </c>
      <c r="L198" s="58" t="s">
        <v>307</v>
      </c>
      <c r="M198" s="59">
        <v>46277</v>
      </c>
      <c r="N198" s="60">
        <v>46309</v>
      </c>
    </row>
    <row r="199" spans="2:14" hidden="1" x14ac:dyDescent="0.3">
      <c r="B199" s="56" t="s">
        <v>263</v>
      </c>
      <c r="C199" s="57" t="s">
        <v>555</v>
      </c>
      <c r="D199" s="57" t="s">
        <v>290</v>
      </c>
      <c r="E199" s="57" t="s">
        <v>739</v>
      </c>
      <c r="F199" s="57" t="s">
        <v>740</v>
      </c>
      <c r="G199" t="s">
        <v>563</v>
      </c>
      <c r="H199" t="s">
        <v>563</v>
      </c>
      <c r="I199" s="57" t="s">
        <v>741</v>
      </c>
      <c r="J199" s="57" t="s">
        <v>744</v>
      </c>
      <c r="K199" s="57" t="s">
        <v>267</v>
      </c>
      <c r="L199" s="58" t="s">
        <v>307</v>
      </c>
      <c r="M199" s="59">
        <v>46645</v>
      </c>
      <c r="N199" s="60">
        <v>46678</v>
      </c>
    </row>
    <row r="200" spans="2:14" hidden="1" x14ac:dyDescent="0.3">
      <c r="B200" s="56" t="s">
        <v>263</v>
      </c>
      <c r="C200" s="57" t="s">
        <v>555</v>
      </c>
      <c r="D200" s="57" t="s">
        <v>290</v>
      </c>
      <c r="E200" s="57" t="s">
        <v>739</v>
      </c>
      <c r="F200" s="57" t="s">
        <v>740</v>
      </c>
      <c r="G200" t="s">
        <v>566</v>
      </c>
      <c r="H200" t="s">
        <v>566</v>
      </c>
      <c r="I200" s="57" t="s">
        <v>741</v>
      </c>
      <c r="J200" s="57" t="s">
        <v>745</v>
      </c>
      <c r="K200" s="57" t="s">
        <v>267</v>
      </c>
      <c r="L200" s="58" t="s">
        <v>307</v>
      </c>
      <c r="M200" s="59">
        <v>46499</v>
      </c>
      <c r="N200" s="60">
        <v>46536</v>
      </c>
    </row>
    <row r="201" spans="2:14" hidden="1" x14ac:dyDescent="0.3">
      <c r="B201" s="56" t="s">
        <v>263</v>
      </c>
      <c r="C201" s="57" t="s">
        <v>555</v>
      </c>
      <c r="D201" s="57" t="s">
        <v>290</v>
      </c>
      <c r="E201" s="57" t="s">
        <v>739</v>
      </c>
      <c r="F201" s="57" t="s">
        <v>746</v>
      </c>
      <c r="G201" t="s">
        <v>557</v>
      </c>
      <c r="H201" t="s">
        <v>557</v>
      </c>
      <c r="I201" s="57" t="s">
        <v>747</v>
      </c>
      <c r="J201" s="57" t="s">
        <v>748</v>
      </c>
      <c r="K201" s="57" t="s">
        <v>267</v>
      </c>
      <c r="L201" s="58" t="s">
        <v>311</v>
      </c>
      <c r="M201" s="59">
        <v>46319</v>
      </c>
      <c r="N201" s="60">
        <v>46342</v>
      </c>
    </row>
    <row r="202" spans="2:14" hidden="1" x14ac:dyDescent="0.3">
      <c r="B202" s="56" t="s">
        <v>263</v>
      </c>
      <c r="C202" s="57" t="s">
        <v>555</v>
      </c>
      <c r="D202" s="57" t="s">
        <v>290</v>
      </c>
      <c r="E202" s="57" t="s">
        <v>739</v>
      </c>
      <c r="F202" s="57" t="s">
        <v>746</v>
      </c>
      <c r="G202" t="s">
        <v>560</v>
      </c>
      <c r="H202" t="s">
        <v>560</v>
      </c>
      <c r="I202" s="57" t="s">
        <v>747</v>
      </c>
      <c r="J202" s="57" t="s">
        <v>749</v>
      </c>
      <c r="K202" s="57" t="s">
        <v>267</v>
      </c>
      <c r="L202" s="58" t="s">
        <v>311</v>
      </c>
      <c r="M202" s="59">
        <v>46503</v>
      </c>
      <c r="N202" s="60">
        <v>46531</v>
      </c>
    </row>
    <row r="203" spans="2:14" hidden="1" x14ac:dyDescent="0.3">
      <c r="B203" s="56" t="s">
        <v>263</v>
      </c>
      <c r="C203" s="57" t="s">
        <v>555</v>
      </c>
      <c r="D203" s="57" t="s">
        <v>290</v>
      </c>
      <c r="E203" s="57" t="s">
        <v>739</v>
      </c>
      <c r="F203" s="57" t="s">
        <v>746</v>
      </c>
      <c r="G203" t="s">
        <v>566</v>
      </c>
      <c r="H203" t="s">
        <v>566</v>
      </c>
      <c r="I203" s="57" t="s">
        <v>747</v>
      </c>
      <c r="J203" s="57" t="s">
        <v>750</v>
      </c>
      <c r="K203" s="57" t="s">
        <v>267</v>
      </c>
      <c r="L203" s="58" t="s">
        <v>311</v>
      </c>
      <c r="M203" s="59">
        <v>46547</v>
      </c>
      <c r="N203" s="60">
        <v>46571</v>
      </c>
    </row>
    <row r="204" spans="2:14" hidden="1" x14ac:dyDescent="0.3">
      <c r="B204" s="56" t="s">
        <v>263</v>
      </c>
      <c r="C204" s="57" t="s">
        <v>555</v>
      </c>
      <c r="D204" s="57" t="s">
        <v>290</v>
      </c>
      <c r="E204" s="57" t="s">
        <v>739</v>
      </c>
      <c r="F204" s="57" t="s">
        <v>751</v>
      </c>
      <c r="G204" t="s">
        <v>557</v>
      </c>
      <c r="H204" t="s">
        <v>557</v>
      </c>
      <c r="I204" s="57" t="s">
        <v>752</v>
      </c>
      <c r="J204" s="57" t="s">
        <v>753</v>
      </c>
      <c r="K204" s="57" t="s">
        <v>267</v>
      </c>
      <c r="L204" s="58" t="s">
        <v>311</v>
      </c>
      <c r="M204" s="59">
        <v>46408</v>
      </c>
      <c r="N204" s="60">
        <v>46432</v>
      </c>
    </row>
    <row r="205" spans="2:14" hidden="1" x14ac:dyDescent="0.3">
      <c r="B205" s="56" t="s">
        <v>263</v>
      </c>
      <c r="C205" s="57" t="s">
        <v>555</v>
      </c>
      <c r="D205" s="57" t="s">
        <v>290</v>
      </c>
      <c r="E205" s="57" t="s">
        <v>739</v>
      </c>
      <c r="F205" s="57" t="s">
        <v>751</v>
      </c>
      <c r="G205" t="s">
        <v>560</v>
      </c>
      <c r="H205" t="s">
        <v>560</v>
      </c>
      <c r="I205" s="57" t="s">
        <v>752</v>
      </c>
      <c r="J205" s="57" t="s">
        <v>754</v>
      </c>
      <c r="K205" s="57" t="s">
        <v>267</v>
      </c>
      <c r="L205" s="58" t="s">
        <v>307</v>
      </c>
      <c r="M205" s="59">
        <v>46532</v>
      </c>
      <c r="N205" s="60">
        <v>46564</v>
      </c>
    </row>
    <row r="206" spans="2:14" hidden="1" x14ac:dyDescent="0.3">
      <c r="B206" s="56" t="s">
        <v>263</v>
      </c>
      <c r="C206" s="57" t="s">
        <v>555</v>
      </c>
      <c r="D206" s="57" t="s">
        <v>290</v>
      </c>
      <c r="E206" s="57" t="s">
        <v>739</v>
      </c>
      <c r="F206" s="57" t="s">
        <v>751</v>
      </c>
      <c r="G206" t="s">
        <v>566</v>
      </c>
      <c r="H206" t="s">
        <v>566</v>
      </c>
      <c r="I206" s="57" t="s">
        <v>752</v>
      </c>
      <c r="J206" s="57" t="s">
        <v>755</v>
      </c>
      <c r="K206" s="57" t="s">
        <v>267</v>
      </c>
      <c r="L206" s="58" t="s">
        <v>307</v>
      </c>
      <c r="M206" s="59">
        <v>46572</v>
      </c>
      <c r="N206" s="60">
        <v>46603</v>
      </c>
    </row>
    <row r="207" spans="2:14" hidden="1" x14ac:dyDescent="0.3">
      <c r="B207" s="56" t="s">
        <v>263</v>
      </c>
      <c r="C207" s="57" t="s">
        <v>555</v>
      </c>
      <c r="D207" s="57" t="s">
        <v>290</v>
      </c>
      <c r="E207" s="57" t="s">
        <v>756</v>
      </c>
      <c r="F207" s="57" t="s">
        <v>757</v>
      </c>
      <c r="G207" t="s">
        <v>557</v>
      </c>
      <c r="H207" t="s">
        <v>557</v>
      </c>
      <c r="I207" s="57" t="s">
        <v>758</v>
      </c>
      <c r="J207" s="57" t="s">
        <v>759</v>
      </c>
      <c r="K207" s="57" t="s">
        <v>267</v>
      </c>
      <c r="L207" s="58" t="s">
        <v>307</v>
      </c>
      <c r="M207" s="59">
        <v>46256</v>
      </c>
      <c r="N207" s="60">
        <v>46287</v>
      </c>
    </row>
    <row r="208" spans="2:14" hidden="1" x14ac:dyDescent="0.3">
      <c r="B208" s="56" t="s">
        <v>263</v>
      </c>
      <c r="C208" s="57" t="s">
        <v>555</v>
      </c>
      <c r="D208" s="57" t="s">
        <v>290</v>
      </c>
      <c r="E208" s="57" t="s">
        <v>756</v>
      </c>
      <c r="F208" s="57" t="s">
        <v>757</v>
      </c>
      <c r="G208" t="s">
        <v>560</v>
      </c>
      <c r="H208" t="s">
        <v>560</v>
      </c>
      <c r="I208" s="57" t="s">
        <v>758</v>
      </c>
      <c r="J208" s="57" t="s">
        <v>760</v>
      </c>
      <c r="K208" s="57" t="s">
        <v>267</v>
      </c>
      <c r="L208" s="58" t="s">
        <v>307</v>
      </c>
      <c r="M208" s="59">
        <v>46289</v>
      </c>
      <c r="N208" s="60">
        <v>46321</v>
      </c>
    </row>
    <row r="209" spans="2:14" hidden="1" x14ac:dyDescent="0.3">
      <c r="B209" s="56" t="s">
        <v>263</v>
      </c>
      <c r="C209" s="57" t="s">
        <v>555</v>
      </c>
      <c r="D209" s="57" t="s">
        <v>290</v>
      </c>
      <c r="E209" s="57" t="s">
        <v>756</v>
      </c>
      <c r="F209" s="57" t="s">
        <v>757</v>
      </c>
      <c r="G209" t="s">
        <v>566</v>
      </c>
      <c r="H209" t="s">
        <v>566</v>
      </c>
      <c r="I209" s="57" t="s">
        <v>758</v>
      </c>
      <c r="J209" s="57" t="s">
        <v>761</v>
      </c>
      <c r="K209" s="57" t="s">
        <v>267</v>
      </c>
      <c r="L209" s="58" t="s">
        <v>307</v>
      </c>
      <c r="M209" s="59">
        <v>46537</v>
      </c>
      <c r="N209" s="60">
        <v>46568</v>
      </c>
    </row>
    <row r="210" spans="2:14" hidden="1" x14ac:dyDescent="0.3">
      <c r="B210" s="56" t="s">
        <v>263</v>
      </c>
      <c r="C210" s="57" t="s">
        <v>555</v>
      </c>
      <c r="D210" s="57" t="s">
        <v>290</v>
      </c>
      <c r="E210" s="57" t="s">
        <v>756</v>
      </c>
      <c r="F210" s="57" t="s">
        <v>762</v>
      </c>
      <c r="G210" t="s">
        <v>557</v>
      </c>
      <c r="H210" t="s">
        <v>557</v>
      </c>
      <c r="I210" s="57" t="s">
        <v>763</v>
      </c>
      <c r="J210" s="57" t="s">
        <v>764</v>
      </c>
      <c r="K210" s="57" t="s">
        <v>267</v>
      </c>
      <c r="L210" s="58" t="s">
        <v>307</v>
      </c>
      <c r="M210" s="59">
        <v>46310</v>
      </c>
      <c r="N210" s="60">
        <v>46342</v>
      </c>
    </row>
    <row r="211" spans="2:14" hidden="1" x14ac:dyDescent="0.3">
      <c r="B211" s="56" t="s">
        <v>263</v>
      </c>
      <c r="C211" s="57" t="s">
        <v>555</v>
      </c>
      <c r="D211" s="57" t="s">
        <v>290</v>
      </c>
      <c r="E211" s="57" t="s">
        <v>756</v>
      </c>
      <c r="F211" s="57" t="s">
        <v>762</v>
      </c>
      <c r="G211" t="s">
        <v>560</v>
      </c>
      <c r="H211" t="s">
        <v>560</v>
      </c>
      <c r="I211" s="57" t="s">
        <v>763</v>
      </c>
      <c r="J211" s="57" t="s">
        <v>765</v>
      </c>
      <c r="K211" s="57" t="s">
        <v>267</v>
      </c>
      <c r="L211" s="58" t="s">
        <v>311</v>
      </c>
      <c r="M211" s="59">
        <v>46532</v>
      </c>
      <c r="N211" s="60">
        <v>46555</v>
      </c>
    </row>
    <row r="212" spans="2:14" hidden="1" x14ac:dyDescent="0.3">
      <c r="B212" s="56" t="s">
        <v>263</v>
      </c>
      <c r="C212" s="57" t="s">
        <v>555</v>
      </c>
      <c r="D212" s="57" t="s">
        <v>290</v>
      </c>
      <c r="E212" s="57" t="s">
        <v>756</v>
      </c>
      <c r="F212" s="57" t="s">
        <v>762</v>
      </c>
      <c r="G212" t="s">
        <v>566</v>
      </c>
      <c r="H212" t="s">
        <v>566</v>
      </c>
      <c r="I212" s="57" t="s">
        <v>763</v>
      </c>
      <c r="J212" s="57" t="s">
        <v>766</v>
      </c>
      <c r="K212" s="57" t="s">
        <v>267</v>
      </c>
      <c r="L212" s="58" t="s">
        <v>311</v>
      </c>
      <c r="M212" s="59">
        <v>46569</v>
      </c>
      <c r="N212" s="60">
        <v>46593</v>
      </c>
    </row>
    <row r="213" spans="2:14" hidden="1" x14ac:dyDescent="0.3">
      <c r="B213" s="56" t="s">
        <v>263</v>
      </c>
      <c r="C213" s="57" t="s">
        <v>555</v>
      </c>
      <c r="D213" s="57" t="s">
        <v>290</v>
      </c>
      <c r="E213" s="57" t="s">
        <v>756</v>
      </c>
      <c r="F213" s="57" t="s">
        <v>767</v>
      </c>
      <c r="G213" t="s">
        <v>557</v>
      </c>
      <c r="H213" t="s">
        <v>557</v>
      </c>
      <c r="I213" s="57" t="s">
        <v>768</v>
      </c>
      <c r="J213" s="57" t="s">
        <v>769</v>
      </c>
      <c r="K213" s="57" t="s">
        <v>267</v>
      </c>
      <c r="L213" s="58" t="s">
        <v>307</v>
      </c>
      <c r="M213" s="59">
        <v>46400</v>
      </c>
      <c r="N213" s="60">
        <v>46432</v>
      </c>
    </row>
    <row r="214" spans="2:14" hidden="1" x14ac:dyDescent="0.3">
      <c r="B214" s="56" t="s">
        <v>263</v>
      </c>
      <c r="C214" s="57" t="s">
        <v>555</v>
      </c>
      <c r="D214" s="57" t="s">
        <v>290</v>
      </c>
      <c r="E214" s="57" t="s">
        <v>756</v>
      </c>
      <c r="F214" s="57" t="s">
        <v>767</v>
      </c>
      <c r="G214" t="s">
        <v>560</v>
      </c>
      <c r="H214" t="s">
        <v>560</v>
      </c>
      <c r="I214" s="57" t="s">
        <v>768</v>
      </c>
      <c r="J214" s="57" t="s">
        <v>770</v>
      </c>
      <c r="K214" s="57" t="s">
        <v>267</v>
      </c>
      <c r="L214" s="58" t="s">
        <v>307</v>
      </c>
      <c r="M214" s="59">
        <v>46572</v>
      </c>
      <c r="N214" s="60">
        <v>46603</v>
      </c>
    </row>
    <row r="215" spans="2:14" hidden="1" x14ac:dyDescent="0.3">
      <c r="B215" s="56" t="s">
        <v>263</v>
      </c>
      <c r="C215" s="57" t="s">
        <v>555</v>
      </c>
      <c r="D215" s="57" t="s">
        <v>290</v>
      </c>
      <c r="E215" s="57" t="s">
        <v>756</v>
      </c>
      <c r="F215" s="57" t="s">
        <v>767</v>
      </c>
      <c r="G215" t="s">
        <v>563</v>
      </c>
      <c r="H215" t="s">
        <v>563</v>
      </c>
      <c r="I215" s="57" t="s">
        <v>768</v>
      </c>
      <c r="J215" s="57" t="s">
        <v>771</v>
      </c>
      <c r="K215" s="57" t="s">
        <v>267</v>
      </c>
      <c r="L215" s="58" t="s">
        <v>307</v>
      </c>
      <c r="M215" s="59">
        <v>46645</v>
      </c>
      <c r="N215" s="60">
        <v>46678</v>
      </c>
    </row>
    <row r="216" spans="2:14" hidden="1" x14ac:dyDescent="0.3">
      <c r="B216" s="56" t="s">
        <v>263</v>
      </c>
      <c r="C216" s="57" t="s">
        <v>555</v>
      </c>
      <c r="D216" s="57" t="s">
        <v>290</v>
      </c>
      <c r="E216" s="57" t="s">
        <v>756</v>
      </c>
      <c r="F216" s="57" t="s">
        <v>767</v>
      </c>
      <c r="G216" t="s">
        <v>566</v>
      </c>
      <c r="H216" t="s">
        <v>566</v>
      </c>
      <c r="I216" s="57" t="s">
        <v>768</v>
      </c>
      <c r="J216" s="57" t="s">
        <v>772</v>
      </c>
      <c r="K216" s="57" t="s">
        <v>267</v>
      </c>
      <c r="L216" s="58" t="s">
        <v>307</v>
      </c>
      <c r="M216" s="59">
        <v>46594</v>
      </c>
      <c r="N216" s="60">
        <v>46625</v>
      </c>
    </row>
    <row r="217" spans="2:14" hidden="1" x14ac:dyDescent="0.3">
      <c r="B217" s="56" t="s">
        <v>263</v>
      </c>
      <c r="C217" s="57" t="s">
        <v>555</v>
      </c>
      <c r="D217" s="57" t="s">
        <v>308</v>
      </c>
      <c r="E217" s="57" t="s">
        <v>773</v>
      </c>
      <c r="F217" s="57" t="s">
        <v>557</v>
      </c>
      <c r="G217" t="s">
        <v>557</v>
      </c>
      <c r="H217" t="s">
        <v>557</v>
      </c>
      <c r="I217" s="57" t="s">
        <v>774</v>
      </c>
      <c r="J217" s="57" t="s">
        <v>775</v>
      </c>
      <c r="K217" s="57" t="s">
        <v>267</v>
      </c>
      <c r="L217" s="58" t="s">
        <v>307</v>
      </c>
      <c r="M217" s="59">
        <v>46589</v>
      </c>
      <c r="N217" s="60">
        <v>46621</v>
      </c>
    </row>
    <row r="218" spans="2:14" hidden="1" x14ac:dyDescent="0.3">
      <c r="B218" s="56" t="s">
        <v>263</v>
      </c>
      <c r="C218" s="57" t="s">
        <v>555</v>
      </c>
      <c r="D218" s="57" t="s">
        <v>308</v>
      </c>
      <c r="E218" s="57" t="s">
        <v>773</v>
      </c>
      <c r="F218" s="57" t="s">
        <v>560</v>
      </c>
      <c r="G218" t="s">
        <v>560</v>
      </c>
      <c r="H218" t="s">
        <v>560</v>
      </c>
      <c r="I218" s="57" t="s">
        <v>776</v>
      </c>
      <c r="J218" s="57" t="s">
        <v>777</v>
      </c>
      <c r="K218" s="57" t="s">
        <v>267</v>
      </c>
      <c r="L218" s="58" t="s">
        <v>311</v>
      </c>
      <c r="M218" s="59">
        <v>46622</v>
      </c>
      <c r="N218" s="60">
        <v>46645</v>
      </c>
    </row>
    <row r="219" spans="2:14" hidden="1" x14ac:dyDescent="0.3">
      <c r="B219" s="56" t="s">
        <v>263</v>
      </c>
      <c r="C219" s="57" t="s">
        <v>555</v>
      </c>
      <c r="D219" s="57" t="s">
        <v>308</v>
      </c>
      <c r="E219" s="57" t="s">
        <v>773</v>
      </c>
      <c r="F219" s="57" t="s">
        <v>778</v>
      </c>
      <c r="G219" t="s">
        <v>778</v>
      </c>
      <c r="H219" t="s">
        <v>778</v>
      </c>
      <c r="I219" s="57" t="s">
        <v>779</v>
      </c>
      <c r="J219" s="57" t="s">
        <v>780</v>
      </c>
      <c r="K219" s="57" t="s">
        <v>267</v>
      </c>
      <c r="L219" s="58" t="s">
        <v>311</v>
      </c>
      <c r="M219" s="59">
        <v>46589</v>
      </c>
      <c r="N219" s="60">
        <v>46613</v>
      </c>
    </row>
    <row r="220" spans="2:14" hidden="1" x14ac:dyDescent="0.3">
      <c r="B220" s="56" t="s">
        <v>263</v>
      </c>
      <c r="C220" s="57" t="s">
        <v>555</v>
      </c>
      <c r="D220" s="57" t="s">
        <v>308</v>
      </c>
      <c r="E220" s="57" t="s">
        <v>773</v>
      </c>
      <c r="F220" s="57" t="s">
        <v>781</v>
      </c>
      <c r="G220" t="s">
        <v>781</v>
      </c>
      <c r="H220" t="s">
        <v>781</v>
      </c>
      <c r="I220" s="57" t="s">
        <v>782</v>
      </c>
      <c r="J220" s="57" t="s">
        <v>783</v>
      </c>
      <c r="K220" s="57" t="s">
        <v>267</v>
      </c>
      <c r="L220" s="58" t="s">
        <v>311</v>
      </c>
      <c r="M220" s="59">
        <v>46679</v>
      </c>
      <c r="N220" s="60">
        <v>46702</v>
      </c>
    </row>
    <row r="221" spans="2:14" hidden="1" x14ac:dyDescent="0.3">
      <c r="B221" s="56" t="s">
        <v>263</v>
      </c>
      <c r="C221" s="57" t="s">
        <v>555</v>
      </c>
      <c r="D221" s="57" t="s">
        <v>308</v>
      </c>
      <c r="E221" s="57" t="s">
        <v>784</v>
      </c>
      <c r="F221" s="57" t="s">
        <v>557</v>
      </c>
      <c r="G221" t="s">
        <v>557</v>
      </c>
      <c r="H221" t="s">
        <v>557</v>
      </c>
      <c r="I221" s="57" t="s">
        <v>785</v>
      </c>
      <c r="J221" s="57" t="s">
        <v>786</v>
      </c>
      <c r="K221" s="57" t="s">
        <v>267</v>
      </c>
      <c r="L221" s="58" t="s">
        <v>307</v>
      </c>
      <c r="M221" s="59">
        <v>46638</v>
      </c>
      <c r="N221" s="60">
        <v>46671</v>
      </c>
    </row>
    <row r="222" spans="2:14" hidden="1" x14ac:dyDescent="0.3">
      <c r="B222" s="56" t="s">
        <v>263</v>
      </c>
      <c r="C222" s="57" t="s">
        <v>555</v>
      </c>
      <c r="D222" s="57" t="s">
        <v>308</v>
      </c>
      <c r="E222" s="57" t="s">
        <v>784</v>
      </c>
      <c r="F222" s="57" t="s">
        <v>560</v>
      </c>
      <c r="G222" t="s">
        <v>560</v>
      </c>
      <c r="H222" t="s">
        <v>560</v>
      </c>
      <c r="I222" s="57" t="s">
        <v>787</v>
      </c>
      <c r="J222" s="57" t="s">
        <v>788</v>
      </c>
      <c r="K222" s="57" t="s">
        <v>267</v>
      </c>
      <c r="L222" s="58" t="s">
        <v>311</v>
      </c>
      <c r="M222" s="59">
        <v>46672</v>
      </c>
      <c r="N222" s="60">
        <v>46695</v>
      </c>
    </row>
    <row r="223" spans="2:14" hidden="1" x14ac:dyDescent="0.3">
      <c r="B223" s="56" t="s">
        <v>263</v>
      </c>
      <c r="C223" s="57" t="s">
        <v>555</v>
      </c>
      <c r="D223" s="57" t="s">
        <v>308</v>
      </c>
      <c r="E223" s="57" t="s">
        <v>784</v>
      </c>
      <c r="F223" s="57" t="s">
        <v>778</v>
      </c>
      <c r="G223" t="s">
        <v>778</v>
      </c>
      <c r="H223" t="s">
        <v>778</v>
      </c>
      <c r="I223" s="57" t="s">
        <v>789</v>
      </c>
      <c r="J223" s="57" t="s">
        <v>790</v>
      </c>
      <c r="K223" s="57" t="s">
        <v>267</v>
      </c>
      <c r="L223" s="58" t="s">
        <v>311</v>
      </c>
      <c r="M223" s="59">
        <v>46672</v>
      </c>
      <c r="N223" s="60">
        <v>46695</v>
      </c>
    </row>
    <row r="224" spans="2:14" hidden="1" x14ac:dyDescent="0.3">
      <c r="B224" s="56" t="s">
        <v>263</v>
      </c>
      <c r="C224" s="57" t="s">
        <v>555</v>
      </c>
      <c r="D224" s="57" t="s">
        <v>308</v>
      </c>
      <c r="E224" s="57" t="s">
        <v>784</v>
      </c>
      <c r="F224" s="57" t="s">
        <v>781</v>
      </c>
      <c r="G224" t="s">
        <v>781</v>
      </c>
      <c r="H224" t="s">
        <v>781</v>
      </c>
      <c r="I224" s="57" t="s">
        <v>791</v>
      </c>
      <c r="J224" s="57" t="s">
        <v>792</v>
      </c>
      <c r="K224" s="57" t="s">
        <v>267</v>
      </c>
      <c r="L224" s="58" t="s">
        <v>311</v>
      </c>
      <c r="M224" s="59">
        <v>46704</v>
      </c>
      <c r="N224" s="60">
        <v>46727</v>
      </c>
    </row>
    <row r="225" spans="2:14" hidden="1" x14ac:dyDescent="0.3">
      <c r="B225" s="56" t="s">
        <v>263</v>
      </c>
      <c r="C225" s="57" t="s">
        <v>555</v>
      </c>
      <c r="D225" s="57" t="s">
        <v>793</v>
      </c>
      <c r="E225" s="57" t="s">
        <v>557</v>
      </c>
      <c r="F225" s="57" t="s">
        <v>557</v>
      </c>
      <c r="G225" t="s">
        <v>557</v>
      </c>
      <c r="H225" t="s">
        <v>557</v>
      </c>
      <c r="I225" s="57" t="s">
        <v>794</v>
      </c>
      <c r="J225" s="57" t="s">
        <v>795</v>
      </c>
      <c r="K225" s="57" t="s">
        <v>267</v>
      </c>
      <c r="L225" s="58" t="s">
        <v>307</v>
      </c>
      <c r="M225" s="59">
        <v>46622</v>
      </c>
      <c r="N225" s="60">
        <v>46655</v>
      </c>
    </row>
    <row r="226" spans="2:14" hidden="1" x14ac:dyDescent="0.3">
      <c r="B226" s="56" t="s">
        <v>263</v>
      </c>
      <c r="C226" s="57" t="s">
        <v>555</v>
      </c>
      <c r="D226" s="57" t="s">
        <v>793</v>
      </c>
      <c r="E226" s="57" t="s">
        <v>560</v>
      </c>
      <c r="F226" s="57" t="s">
        <v>560</v>
      </c>
      <c r="G226" t="s">
        <v>560</v>
      </c>
      <c r="H226" t="s">
        <v>560</v>
      </c>
      <c r="I226" s="57" t="s">
        <v>796</v>
      </c>
      <c r="J226" s="57" t="s">
        <v>797</v>
      </c>
      <c r="K226" s="57" t="s">
        <v>267</v>
      </c>
      <c r="L226" s="58" t="s">
        <v>311</v>
      </c>
      <c r="M226" s="59">
        <v>46656</v>
      </c>
      <c r="N226" s="60">
        <v>46679</v>
      </c>
    </row>
    <row r="227" spans="2:14" hidden="1" x14ac:dyDescent="0.3">
      <c r="B227" s="56" t="s">
        <v>263</v>
      </c>
      <c r="C227" s="57" t="s">
        <v>555</v>
      </c>
      <c r="D227" s="57" t="s">
        <v>793</v>
      </c>
      <c r="E227" s="57" t="s">
        <v>563</v>
      </c>
      <c r="F227" s="57" t="s">
        <v>563</v>
      </c>
      <c r="G227" t="s">
        <v>563</v>
      </c>
      <c r="H227" t="s">
        <v>563</v>
      </c>
      <c r="I227" s="57" t="s">
        <v>798</v>
      </c>
      <c r="J227" s="57" t="s">
        <v>799</v>
      </c>
      <c r="K227" s="57" t="s">
        <v>267</v>
      </c>
      <c r="L227" s="58" t="s">
        <v>311</v>
      </c>
      <c r="M227" s="59">
        <v>46705</v>
      </c>
      <c r="N227" s="60">
        <v>46728</v>
      </c>
    </row>
    <row r="228" spans="2:14" hidden="1" x14ac:dyDescent="0.3">
      <c r="B228" s="56" t="s">
        <v>263</v>
      </c>
      <c r="C228" s="57" t="s">
        <v>555</v>
      </c>
      <c r="D228" s="57" t="s">
        <v>793</v>
      </c>
      <c r="E228" s="57" t="s">
        <v>566</v>
      </c>
      <c r="F228" s="57" t="s">
        <v>566</v>
      </c>
      <c r="G228" t="s">
        <v>566</v>
      </c>
      <c r="H228" t="s">
        <v>566</v>
      </c>
      <c r="I228" s="57" t="s">
        <v>800</v>
      </c>
      <c r="J228" s="57" t="s">
        <v>801</v>
      </c>
      <c r="K228" s="57" t="s">
        <v>267</v>
      </c>
      <c r="L228" s="58" t="s">
        <v>311</v>
      </c>
      <c r="M228" s="59">
        <v>46680</v>
      </c>
      <c r="N228" s="60">
        <v>46704</v>
      </c>
    </row>
    <row r="229" spans="2:14" hidden="1" x14ac:dyDescent="0.3">
      <c r="B229" s="56" t="s">
        <v>263</v>
      </c>
      <c r="C229" s="57" t="s">
        <v>802</v>
      </c>
      <c r="D229" s="57" t="s">
        <v>802</v>
      </c>
      <c r="E229" s="57" t="s">
        <v>802</v>
      </c>
      <c r="F229" s="57" t="s">
        <v>802</v>
      </c>
      <c r="G229" t="s">
        <v>802</v>
      </c>
      <c r="H229" t="s">
        <v>802</v>
      </c>
      <c r="I229" s="57" t="s">
        <v>803</v>
      </c>
      <c r="J229" s="57" t="s">
        <v>804</v>
      </c>
      <c r="K229" s="57" t="s">
        <v>267</v>
      </c>
      <c r="L229" s="58" t="s">
        <v>307</v>
      </c>
      <c r="M229" s="59">
        <v>46429</v>
      </c>
      <c r="N229" s="60">
        <v>46464</v>
      </c>
    </row>
    <row r="230" spans="2:14" hidden="1" x14ac:dyDescent="0.3">
      <c r="B230" s="56" t="s">
        <v>263</v>
      </c>
      <c r="C230" s="57" t="s">
        <v>805</v>
      </c>
      <c r="D230" s="57" t="s">
        <v>806</v>
      </c>
      <c r="E230" s="57" t="s">
        <v>807</v>
      </c>
      <c r="F230" s="57" t="s">
        <v>283</v>
      </c>
      <c r="G230" t="s">
        <v>283</v>
      </c>
      <c r="H230" t="s">
        <v>283</v>
      </c>
      <c r="I230" s="57" t="s">
        <v>808</v>
      </c>
      <c r="J230" s="57" t="s">
        <v>809</v>
      </c>
      <c r="K230" s="57" t="s">
        <v>267</v>
      </c>
      <c r="L230" s="58" t="s">
        <v>311</v>
      </c>
      <c r="M230" s="59">
        <v>46557</v>
      </c>
      <c r="N230" s="60">
        <v>46580</v>
      </c>
    </row>
    <row r="231" spans="2:14" hidden="1" x14ac:dyDescent="0.3">
      <c r="B231" s="56" t="s">
        <v>263</v>
      </c>
      <c r="C231" s="57" t="s">
        <v>805</v>
      </c>
      <c r="D231" s="57" t="s">
        <v>806</v>
      </c>
      <c r="E231" s="57" t="s">
        <v>807</v>
      </c>
      <c r="F231" s="57" t="s">
        <v>290</v>
      </c>
      <c r="G231" t="s">
        <v>810</v>
      </c>
      <c r="H231" t="s">
        <v>810</v>
      </c>
      <c r="I231" s="57" t="s">
        <v>811</v>
      </c>
      <c r="J231" s="57" t="s">
        <v>812</v>
      </c>
      <c r="K231" s="57" t="s">
        <v>267</v>
      </c>
      <c r="L231" s="58" t="s">
        <v>311</v>
      </c>
      <c r="M231" s="59">
        <v>46532</v>
      </c>
      <c r="N231" s="60">
        <v>46555</v>
      </c>
    </row>
    <row r="232" spans="2:14" hidden="1" x14ac:dyDescent="0.3">
      <c r="B232" s="56" t="s">
        <v>263</v>
      </c>
      <c r="C232" s="57" t="s">
        <v>805</v>
      </c>
      <c r="D232" s="57" t="s">
        <v>806</v>
      </c>
      <c r="E232" s="57" t="s">
        <v>807</v>
      </c>
      <c r="F232" s="57" t="s">
        <v>290</v>
      </c>
      <c r="G232" t="s">
        <v>813</v>
      </c>
      <c r="H232" t="s">
        <v>813</v>
      </c>
      <c r="I232" s="57" t="s">
        <v>811</v>
      </c>
      <c r="J232" s="57" t="s">
        <v>814</v>
      </c>
      <c r="K232" s="57" t="s">
        <v>267</v>
      </c>
      <c r="L232" s="58" t="s">
        <v>311</v>
      </c>
      <c r="M232" s="59">
        <v>46503</v>
      </c>
      <c r="N232" s="60">
        <v>46531</v>
      </c>
    </row>
    <row r="233" spans="2:14" hidden="1" x14ac:dyDescent="0.3">
      <c r="B233" s="56" t="s">
        <v>263</v>
      </c>
      <c r="C233" s="57" t="s">
        <v>805</v>
      </c>
      <c r="D233" s="57" t="s">
        <v>806</v>
      </c>
      <c r="E233" s="57" t="s">
        <v>807</v>
      </c>
      <c r="F233" s="57" t="s">
        <v>290</v>
      </c>
      <c r="G233" t="s">
        <v>815</v>
      </c>
      <c r="H233" t="s">
        <v>815</v>
      </c>
      <c r="I233" s="57" t="s">
        <v>811</v>
      </c>
      <c r="J233" s="57" t="s">
        <v>816</v>
      </c>
      <c r="K233" s="57" t="s">
        <v>267</v>
      </c>
      <c r="L233" s="58" t="s">
        <v>311</v>
      </c>
      <c r="M233" s="59">
        <v>46244</v>
      </c>
      <c r="N233" s="60">
        <v>46267</v>
      </c>
    </row>
    <row r="234" spans="2:14" hidden="1" x14ac:dyDescent="0.3">
      <c r="B234" s="56" t="s">
        <v>263</v>
      </c>
      <c r="C234" s="57" t="s">
        <v>805</v>
      </c>
      <c r="D234" s="57" t="s">
        <v>806</v>
      </c>
      <c r="E234" s="57" t="s">
        <v>807</v>
      </c>
      <c r="F234" s="57" t="s">
        <v>290</v>
      </c>
      <c r="G234" t="s">
        <v>817</v>
      </c>
      <c r="H234" t="s">
        <v>817</v>
      </c>
      <c r="I234" s="57" t="s">
        <v>811</v>
      </c>
      <c r="J234" s="57" t="s">
        <v>818</v>
      </c>
      <c r="K234" s="57" t="s">
        <v>267</v>
      </c>
      <c r="L234" s="58" t="s">
        <v>311</v>
      </c>
      <c r="M234" s="59">
        <v>46515</v>
      </c>
      <c r="N234" s="60">
        <v>46543</v>
      </c>
    </row>
    <row r="235" spans="2:14" hidden="1" x14ac:dyDescent="0.3">
      <c r="B235" s="56" t="s">
        <v>263</v>
      </c>
      <c r="C235" s="57" t="s">
        <v>805</v>
      </c>
      <c r="D235" s="57" t="s">
        <v>806</v>
      </c>
      <c r="E235" s="57" t="s">
        <v>807</v>
      </c>
      <c r="F235" s="57" t="s">
        <v>290</v>
      </c>
      <c r="G235" t="s">
        <v>819</v>
      </c>
      <c r="H235" t="s">
        <v>819</v>
      </c>
      <c r="I235" s="57" t="s">
        <v>811</v>
      </c>
      <c r="J235" s="57" t="s">
        <v>820</v>
      </c>
      <c r="K235" s="57" t="s">
        <v>267</v>
      </c>
      <c r="L235" s="58" t="s">
        <v>311</v>
      </c>
      <c r="M235" s="59">
        <v>46495</v>
      </c>
      <c r="N235" s="60">
        <v>46518</v>
      </c>
    </row>
    <row r="236" spans="2:14" hidden="1" x14ac:dyDescent="0.3">
      <c r="B236" s="56" t="s">
        <v>263</v>
      </c>
      <c r="C236" s="57" t="s">
        <v>805</v>
      </c>
      <c r="D236" s="57" t="s">
        <v>806</v>
      </c>
      <c r="E236" s="57" t="s">
        <v>821</v>
      </c>
      <c r="F236" s="57" t="s">
        <v>283</v>
      </c>
      <c r="G236" t="s">
        <v>283</v>
      </c>
      <c r="H236" t="s">
        <v>283</v>
      </c>
      <c r="I236" s="57" t="s">
        <v>822</v>
      </c>
      <c r="J236" s="57" t="s">
        <v>823</v>
      </c>
      <c r="K236" s="57" t="s">
        <v>267</v>
      </c>
      <c r="L236" s="58" t="s">
        <v>311</v>
      </c>
      <c r="M236" s="59">
        <v>46142</v>
      </c>
      <c r="N236" s="60">
        <v>46166</v>
      </c>
    </row>
    <row r="237" spans="2:14" hidden="1" x14ac:dyDescent="0.3">
      <c r="B237" s="56" t="s">
        <v>263</v>
      </c>
      <c r="C237" s="57" t="s">
        <v>805</v>
      </c>
      <c r="D237" s="57" t="s">
        <v>824</v>
      </c>
      <c r="E237" s="57" t="s">
        <v>283</v>
      </c>
      <c r="F237" s="57" t="s">
        <v>283</v>
      </c>
      <c r="G237" t="s">
        <v>283</v>
      </c>
      <c r="H237" t="s">
        <v>283</v>
      </c>
      <c r="I237" s="57" t="s">
        <v>825</v>
      </c>
      <c r="J237" s="57" t="s">
        <v>826</v>
      </c>
      <c r="K237" s="57" t="s">
        <v>267</v>
      </c>
      <c r="L237" s="58" t="s">
        <v>307</v>
      </c>
      <c r="M237" s="59">
        <v>46411</v>
      </c>
      <c r="N237" s="60">
        <v>46443</v>
      </c>
    </row>
    <row r="238" spans="2:14" hidden="1" x14ac:dyDescent="0.3">
      <c r="B238" s="56" t="s">
        <v>263</v>
      </c>
      <c r="C238" s="57" t="s">
        <v>805</v>
      </c>
      <c r="D238" s="57" t="s">
        <v>824</v>
      </c>
      <c r="E238" s="57" t="s">
        <v>290</v>
      </c>
      <c r="F238" s="57" t="s">
        <v>291</v>
      </c>
      <c r="G238" t="s">
        <v>291</v>
      </c>
      <c r="H238" t="s">
        <v>291</v>
      </c>
      <c r="I238" s="57" t="s">
        <v>827</v>
      </c>
      <c r="J238" s="57" t="s">
        <v>828</v>
      </c>
      <c r="K238" s="57" t="s">
        <v>267</v>
      </c>
      <c r="L238" s="58" t="s">
        <v>311</v>
      </c>
      <c r="M238" s="59">
        <v>46445</v>
      </c>
      <c r="N238" s="60">
        <v>46470</v>
      </c>
    </row>
    <row r="239" spans="2:14" hidden="1" x14ac:dyDescent="0.3">
      <c r="B239" s="56" t="s">
        <v>263</v>
      </c>
      <c r="C239" s="57" t="s">
        <v>805</v>
      </c>
      <c r="D239" s="57" t="s">
        <v>824</v>
      </c>
      <c r="E239" s="57" t="s">
        <v>290</v>
      </c>
      <c r="F239" s="57" t="s">
        <v>295</v>
      </c>
      <c r="G239" t="s">
        <v>295</v>
      </c>
      <c r="H239" t="s">
        <v>295</v>
      </c>
      <c r="I239" s="57" t="s">
        <v>829</v>
      </c>
      <c r="J239" s="57" t="s">
        <v>830</v>
      </c>
      <c r="K239" s="57" t="s">
        <v>267</v>
      </c>
      <c r="L239" s="58" t="s">
        <v>311</v>
      </c>
      <c r="M239" s="59">
        <v>46445</v>
      </c>
      <c r="N239" s="60">
        <v>46470</v>
      </c>
    </row>
    <row r="240" spans="2:14" hidden="1" x14ac:dyDescent="0.3">
      <c r="B240" s="56" t="s">
        <v>263</v>
      </c>
      <c r="C240" s="57" t="s">
        <v>805</v>
      </c>
      <c r="D240" s="57" t="s">
        <v>824</v>
      </c>
      <c r="E240" s="57" t="s">
        <v>290</v>
      </c>
      <c r="F240" s="57" t="s">
        <v>298</v>
      </c>
      <c r="G240" t="s">
        <v>298</v>
      </c>
      <c r="H240" t="s">
        <v>298</v>
      </c>
      <c r="I240" s="57" t="s">
        <v>831</v>
      </c>
      <c r="J240" s="57" t="s">
        <v>832</v>
      </c>
      <c r="K240" s="57" t="s">
        <v>267</v>
      </c>
      <c r="L240" s="58" t="s">
        <v>311</v>
      </c>
      <c r="M240" s="59">
        <v>46445</v>
      </c>
      <c r="N240" s="60">
        <v>46470</v>
      </c>
    </row>
    <row r="241" spans="2:14" hidden="1" x14ac:dyDescent="0.3">
      <c r="B241" s="56" t="s">
        <v>263</v>
      </c>
      <c r="C241" s="57" t="s">
        <v>805</v>
      </c>
      <c r="D241" s="57" t="s">
        <v>824</v>
      </c>
      <c r="E241" s="57" t="s">
        <v>290</v>
      </c>
      <c r="F241" s="57" t="s">
        <v>301</v>
      </c>
      <c r="G241" t="s">
        <v>301</v>
      </c>
      <c r="H241" t="s">
        <v>301</v>
      </c>
      <c r="I241" s="57" t="s">
        <v>833</v>
      </c>
      <c r="J241" s="57" t="s">
        <v>834</v>
      </c>
      <c r="K241" s="57" t="s">
        <v>267</v>
      </c>
      <c r="L241" s="58" t="s">
        <v>311</v>
      </c>
      <c r="M241" s="59">
        <v>46445</v>
      </c>
      <c r="N241" s="60">
        <v>46470</v>
      </c>
    </row>
    <row r="242" spans="2:14" hidden="1" x14ac:dyDescent="0.3">
      <c r="B242" s="56" t="s">
        <v>263</v>
      </c>
      <c r="C242" s="57" t="s">
        <v>805</v>
      </c>
      <c r="D242" s="57" t="s">
        <v>824</v>
      </c>
      <c r="E242" s="57" t="s">
        <v>290</v>
      </c>
      <c r="F242" s="57" t="s">
        <v>304</v>
      </c>
      <c r="G242" t="s">
        <v>304</v>
      </c>
      <c r="H242" t="s">
        <v>304</v>
      </c>
      <c r="I242" s="57" t="s">
        <v>835</v>
      </c>
      <c r="J242" s="57" t="s">
        <v>836</v>
      </c>
      <c r="K242" s="57" t="s">
        <v>267</v>
      </c>
      <c r="L242" s="58" t="s">
        <v>311</v>
      </c>
      <c r="M242" s="59">
        <v>46445</v>
      </c>
      <c r="N242" s="60">
        <v>46470</v>
      </c>
    </row>
    <row r="243" spans="2:14" hidden="1" x14ac:dyDescent="0.3">
      <c r="B243" s="56" t="s">
        <v>263</v>
      </c>
      <c r="C243" s="57" t="s">
        <v>805</v>
      </c>
      <c r="D243" s="57" t="s">
        <v>824</v>
      </c>
      <c r="E243" s="57" t="s">
        <v>793</v>
      </c>
      <c r="F243" s="57" t="s">
        <v>793</v>
      </c>
      <c r="G243" t="s">
        <v>793</v>
      </c>
      <c r="H243" t="s">
        <v>793</v>
      </c>
      <c r="I243" s="57" t="s">
        <v>837</v>
      </c>
      <c r="J243" s="57" t="s">
        <v>838</v>
      </c>
      <c r="K243" s="57" t="s">
        <v>267</v>
      </c>
      <c r="L243" s="58" t="s">
        <v>311</v>
      </c>
      <c r="M243" s="59">
        <v>46445</v>
      </c>
      <c r="N243" s="60">
        <v>46470</v>
      </c>
    </row>
    <row r="244" spans="2:14" hidden="1" x14ac:dyDescent="0.3">
      <c r="B244" s="56" t="s">
        <v>263</v>
      </c>
      <c r="C244" s="57" t="s">
        <v>805</v>
      </c>
      <c r="D244" s="57" t="s">
        <v>839</v>
      </c>
      <c r="E244" s="57" t="s">
        <v>840</v>
      </c>
      <c r="F244" s="57" t="s">
        <v>840</v>
      </c>
      <c r="G244" t="s">
        <v>840</v>
      </c>
      <c r="H244" t="s">
        <v>840</v>
      </c>
      <c r="I244" s="57" t="s">
        <v>841</v>
      </c>
      <c r="J244" s="57" t="s">
        <v>842</v>
      </c>
      <c r="K244" s="57" t="s">
        <v>267</v>
      </c>
      <c r="L244" s="58" t="s">
        <v>311</v>
      </c>
      <c r="M244" s="59">
        <v>46564</v>
      </c>
      <c r="N244" s="60">
        <v>46587</v>
      </c>
    </row>
    <row r="245" spans="2:14" hidden="1" x14ac:dyDescent="0.3">
      <c r="B245" s="56" t="s">
        <v>263</v>
      </c>
      <c r="C245" s="57" t="s">
        <v>805</v>
      </c>
      <c r="D245" s="57" t="s">
        <v>839</v>
      </c>
      <c r="E245" s="57" t="s">
        <v>843</v>
      </c>
      <c r="F245" s="57" t="s">
        <v>843</v>
      </c>
      <c r="G245" t="s">
        <v>843</v>
      </c>
      <c r="H245" t="s">
        <v>843</v>
      </c>
      <c r="I245" s="57" t="s">
        <v>844</v>
      </c>
      <c r="J245" s="57" t="s">
        <v>845</v>
      </c>
      <c r="K245" s="57" t="s">
        <v>267</v>
      </c>
      <c r="L245" s="58" t="s">
        <v>307</v>
      </c>
      <c r="M245" s="59">
        <v>46179</v>
      </c>
      <c r="N245" s="60">
        <v>46210</v>
      </c>
    </row>
    <row r="246" spans="2:14" hidden="1" x14ac:dyDescent="0.3">
      <c r="B246" s="56" t="s">
        <v>263</v>
      </c>
      <c r="C246" s="57" t="s">
        <v>805</v>
      </c>
      <c r="D246" s="57" t="s">
        <v>839</v>
      </c>
      <c r="E246" s="57" t="s">
        <v>846</v>
      </c>
      <c r="F246" s="57" t="s">
        <v>846</v>
      </c>
      <c r="G246" t="s">
        <v>846</v>
      </c>
      <c r="H246" t="s">
        <v>846</v>
      </c>
      <c r="I246" s="57" t="s">
        <v>847</v>
      </c>
      <c r="J246" s="57" t="s">
        <v>848</v>
      </c>
      <c r="K246" s="57" t="s">
        <v>267</v>
      </c>
      <c r="L246" s="58" t="s">
        <v>307</v>
      </c>
      <c r="M246" s="59">
        <v>46142</v>
      </c>
      <c r="N246" s="60">
        <v>46177</v>
      </c>
    </row>
    <row r="247" spans="2:14" hidden="1" x14ac:dyDescent="0.3">
      <c r="B247" s="56" t="s">
        <v>263</v>
      </c>
      <c r="C247" s="57" t="s">
        <v>805</v>
      </c>
      <c r="D247" s="57" t="s">
        <v>839</v>
      </c>
      <c r="E247" s="57" t="s">
        <v>849</v>
      </c>
      <c r="F247" s="57" t="s">
        <v>849</v>
      </c>
      <c r="G247" t="s">
        <v>849</v>
      </c>
      <c r="H247" t="s">
        <v>849</v>
      </c>
      <c r="I247" s="57" t="s">
        <v>850</v>
      </c>
      <c r="J247" s="57" t="s">
        <v>851</v>
      </c>
      <c r="K247" s="57" t="s">
        <v>267</v>
      </c>
      <c r="L247" s="58" t="s">
        <v>307</v>
      </c>
      <c r="M247" s="59">
        <v>46189</v>
      </c>
      <c r="N247" s="60">
        <v>46221</v>
      </c>
    </row>
    <row r="248" spans="2:14" hidden="1" x14ac:dyDescent="0.3">
      <c r="B248" s="56" t="s">
        <v>263</v>
      </c>
      <c r="C248" s="57" t="s">
        <v>805</v>
      </c>
      <c r="D248" s="57" t="s">
        <v>839</v>
      </c>
      <c r="E248" s="57" t="s">
        <v>852</v>
      </c>
      <c r="F248" s="57" t="s">
        <v>852</v>
      </c>
      <c r="G248" t="s">
        <v>852</v>
      </c>
      <c r="H248" t="s">
        <v>852</v>
      </c>
      <c r="I248" s="57" t="s">
        <v>853</v>
      </c>
      <c r="J248" s="57" t="s">
        <v>854</v>
      </c>
      <c r="K248" s="57" t="s">
        <v>267</v>
      </c>
      <c r="L248" s="58" t="s">
        <v>307</v>
      </c>
      <c r="M248" s="59">
        <v>46211</v>
      </c>
      <c r="N248" s="60">
        <v>46243</v>
      </c>
    </row>
    <row r="249" spans="2:14" hidden="1" x14ac:dyDescent="0.3">
      <c r="B249" s="56" t="s">
        <v>263</v>
      </c>
      <c r="C249" s="57" t="s">
        <v>805</v>
      </c>
      <c r="D249" s="57" t="s">
        <v>839</v>
      </c>
      <c r="E249" s="57" t="s">
        <v>855</v>
      </c>
      <c r="F249" s="57" t="s">
        <v>283</v>
      </c>
      <c r="G249" t="s">
        <v>283</v>
      </c>
      <c r="H249" t="s">
        <v>283</v>
      </c>
      <c r="I249" s="57" t="s">
        <v>856</v>
      </c>
      <c r="J249" s="57" t="s">
        <v>857</v>
      </c>
      <c r="K249" s="57" t="s">
        <v>267</v>
      </c>
      <c r="L249" s="58" t="s">
        <v>307</v>
      </c>
      <c r="M249" s="59">
        <v>46531</v>
      </c>
      <c r="N249" s="60">
        <v>46562</v>
      </c>
    </row>
    <row r="250" spans="2:14" hidden="1" x14ac:dyDescent="0.3">
      <c r="B250" s="56" t="s">
        <v>263</v>
      </c>
      <c r="C250" s="57" t="s">
        <v>805</v>
      </c>
      <c r="D250" s="57" t="s">
        <v>839</v>
      </c>
      <c r="E250" s="57" t="s">
        <v>855</v>
      </c>
      <c r="F250" s="57" t="s">
        <v>290</v>
      </c>
      <c r="G250" t="s">
        <v>291</v>
      </c>
      <c r="H250" t="s">
        <v>291</v>
      </c>
      <c r="I250" s="57" t="s">
        <v>858</v>
      </c>
      <c r="J250" s="57" t="s">
        <v>859</v>
      </c>
      <c r="K250" s="57" t="s">
        <v>267</v>
      </c>
      <c r="L250" s="58" t="s">
        <v>307</v>
      </c>
      <c r="M250" s="59">
        <v>46531</v>
      </c>
      <c r="N250" s="60">
        <v>46562</v>
      </c>
    </row>
    <row r="251" spans="2:14" hidden="1" x14ac:dyDescent="0.3">
      <c r="B251" s="56" t="s">
        <v>263</v>
      </c>
      <c r="C251" s="57" t="s">
        <v>805</v>
      </c>
      <c r="D251" s="57" t="s">
        <v>839</v>
      </c>
      <c r="E251" s="57" t="s">
        <v>855</v>
      </c>
      <c r="F251" s="57" t="s">
        <v>290</v>
      </c>
      <c r="G251" t="s">
        <v>295</v>
      </c>
      <c r="H251" t="s">
        <v>295</v>
      </c>
      <c r="I251" s="57" t="s">
        <v>858</v>
      </c>
      <c r="J251" s="57" t="s">
        <v>860</v>
      </c>
      <c r="K251" s="57" t="s">
        <v>267</v>
      </c>
      <c r="L251" s="58" t="s">
        <v>307</v>
      </c>
      <c r="M251" s="59">
        <v>46531</v>
      </c>
      <c r="N251" s="60">
        <v>46562</v>
      </c>
    </row>
    <row r="252" spans="2:14" hidden="1" x14ac:dyDescent="0.3">
      <c r="B252" s="56" t="s">
        <v>263</v>
      </c>
      <c r="C252" s="57" t="s">
        <v>805</v>
      </c>
      <c r="D252" s="57" t="s">
        <v>839</v>
      </c>
      <c r="E252" s="57" t="s">
        <v>855</v>
      </c>
      <c r="F252" s="57" t="s">
        <v>290</v>
      </c>
      <c r="G252" t="s">
        <v>861</v>
      </c>
      <c r="H252" t="s">
        <v>861</v>
      </c>
      <c r="I252" s="57" t="s">
        <v>858</v>
      </c>
      <c r="J252" s="57" t="s">
        <v>862</v>
      </c>
      <c r="K252" s="57" t="s">
        <v>267</v>
      </c>
      <c r="L252" s="58" t="s">
        <v>307</v>
      </c>
      <c r="M252" s="59">
        <v>46531</v>
      </c>
      <c r="N252" s="60">
        <v>46562</v>
      </c>
    </row>
    <row r="253" spans="2:14" hidden="1" x14ac:dyDescent="0.3">
      <c r="B253" s="56" t="s">
        <v>263</v>
      </c>
      <c r="C253" s="57" t="s">
        <v>805</v>
      </c>
      <c r="D253" s="57" t="s">
        <v>839</v>
      </c>
      <c r="E253" s="57" t="s">
        <v>855</v>
      </c>
      <c r="F253" s="57" t="s">
        <v>290</v>
      </c>
      <c r="G253" t="s">
        <v>301</v>
      </c>
      <c r="H253" t="s">
        <v>301</v>
      </c>
      <c r="I253" s="57" t="s">
        <v>858</v>
      </c>
      <c r="J253" s="57" t="s">
        <v>863</v>
      </c>
      <c r="K253" s="57" t="s">
        <v>267</v>
      </c>
      <c r="L253" s="58" t="s">
        <v>307</v>
      </c>
      <c r="M253" s="59">
        <v>46531</v>
      </c>
      <c r="N253" s="60">
        <v>46562</v>
      </c>
    </row>
    <row r="254" spans="2:14" hidden="1" x14ac:dyDescent="0.3">
      <c r="B254" s="56" t="s">
        <v>263</v>
      </c>
      <c r="C254" s="57" t="s">
        <v>805</v>
      </c>
      <c r="D254" s="57" t="s">
        <v>839</v>
      </c>
      <c r="E254" s="57" t="s">
        <v>855</v>
      </c>
      <c r="F254" s="57" t="s">
        <v>290</v>
      </c>
      <c r="G254" t="s">
        <v>864</v>
      </c>
      <c r="H254" t="s">
        <v>864</v>
      </c>
      <c r="I254" s="57" t="s">
        <v>858</v>
      </c>
      <c r="J254" s="57" t="s">
        <v>865</v>
      </c>
      <c r="K254" s="57" t="s">
        <v>267</v>
      </c>
      <c r="L254" s="58" t="s">
        <v>307</v>
      </c>
      <c r="M254" s="59">
        <v>46531</v>
      </c>
      <c r="N254" s="60">
        <v>46562</v>
      </c>
    </row>
    <row r="255" spans="2:14" hidden="1" x14ac:dyDescent="0.3">
      <c r="B255" s="56" t="s">
        <v>263</v>
      </c>
      <c r="C255" s="57" t="s">
        <v>805</v>
      </c>
      <c r="D255" s="57" t="s">
        <v>866</v>
      </c>
      <c r="E255" s="57" t="s">
        <v>283</v>
      </c>
      <c r="F255" s="57" t="s">
        <v>283</v>
      </c>
      <c r="G255" t="s">
        <v>283</v>
      </c>
      <c r="H255" t="s">
        <v>283</v>
      </c>
      <c r="I255" s="57" t="s">
        <v>867</v>
      </c>
      <c r="J255" s="57" t="s">
        <v>868</v>
      </c>
      <c r="K255" s="57" t="s">
        <v>267</v>
      </c>
      <c r="L255" s="58" t="s">
        <v>311</v>
      </c>
      <c r="M255" s="59">
        <v>46392</v>
      </c>
      <c r="N255" s="60">
        <v>46415</v>
      </c>
    </row>
    <row r="256" spans="2:14" hidden="1" x14ac:dyDescent="0.3">
      <c r="B256" s="56" t="s">
        <v>263</v>
      </c>
      <c r="C256" s="57" t="s">
        <v>805</v>
      </c>
      <c r="D256" s="57" t="s">
        <v>866</v>
      </c>
      <c r="E256" s="57" t="s">
        <v>290</v>
      </c>
      <c r="F256" s="57" t="s">
        <v>291</v>
      </c>
      <c r="G256" t="s">
        <v>291</v>
      </c>
      <c r="H256" t="s">
        <v>291</v>
      </c>
      <c r="I256" s="57" t="s">
        <v>869</v>
      </c>
      <c r="J256" s="57" t="s">
        <v>870</v>
      </c>
      <c r="K256" s="57" t="s">
        <v>267</v>
      </c>
      <c r="L256" s="58" t="s">
        <v>311</v>
      </c>
      <c r="M256" s="59">
        <v>46552</v>
      </c>
      <c r="N256" s="60">
        <v>46575</v>
      </c>
    </row>
    <row r="257" spans="2:14" hidden="1" x14ac:dyDescent="0.3">
      <c r="B257" s="56" t="s">
        <v>263</v>
      </c>
      <c r="C257" s="57" t="s">
        <v>805</v>
      </c>
      <c r="D257" s="57" t="s">
        <v>866</v>
      </c>
      <c r="E257" s="57" t="s">
        <v>290</v>
      </c>
      <c r="F257" s="57" t="s">
        <v>298</v>
      </c>
      <c r="G257" t="s">
        <v>298</v>
      </c>
      <c r="H257" t="s">
        <v>298</v>
      </c>
      <c r="I257" s="57" t="s">
        <v>871</v>
      </c>
      <c r="J257" s="57" t="s">
        <v>872</v>
      </c>
      <c r="K257" s="57" t="s">
        <v>267</v>
      </c>
      <c r="L257" s="58" t="s">
        <v>311</v>
      </c>
      <c r="M257" s="59">
        <v>46532</v>
      </c>
      <c r="N257" s="60">
        <v>46555</v>
      </c>
    </row>
    <row r="258" spans="2:14" hidden="1" x14ac:dyDescent="0.3">
      <c r="B258" s="56" t="s">
        <v>263</v>
      </c>
      <c r="C258" s="57" t="s">
        <v>805</v>
      </c>
      <c r="D258" s="57" t="s">
        <v>866</v>
      </c>
      <c r="E258" s="57" t="s">
        <v>290</v>
      </c>
      <c r="F258" s="57" t="s">
        <v>301</v>
      </c>
      <c r="G258" t="s">
        <v>301</v>
      </c>
      <c r="H258" t="s">
        <v>301</v>
      </c>
      <c r="I258" s="57" t="s">
        <v>873</v>
      </c>
      <c r="J258" s="57" t="s">
        <v>874</v>
      </c>
      <c r="K258" s="57" t="s">
        <v>267</v>
      </c>
      <c r="L258" s="58" t="s">
        <v>311</v>
      </c>
      <c r="M258" s="59">
        <v>46532</v>
      </c>
      <c r="N258" s="60">
        <v>46555</v>
      </c>
    </row>
    <row r="259" spans="2:14" hidden="1" x14ac:dyDescent="0.3">
      <c r="B259" s="56" t="s">
        <v>263</v>
      </c>
      <c r="C259" s="57" t="s">
        <v>805</v>
      </c>
      <c r="D259" s="57" t="s">
        <v>866</v>
      </c>
      <c r="E259" s="57" t="s">
        <v>290</v>
      </c>
      <c r="F259" s="57" t="s">
        <v>304</v>
      </c>
      <c r="G259" t="s">
        <v>304</v>
      </c>
      <c r="H259" t="s">
        <v>304</v>
      </c>
      <c r="I259" s="57" t="s">
        <v>875</v>
      </c>
      <c r="J259" s="57" t="s">
        <v>876</v>
      </c>
      <c r="K259" s="57" t="s">
        <v>267</v>
      </c>
      <c r="L259" s="58" t="s">
        <v>311</v>
      </c>
      <c r="M259" s="59">
        <v>46557</v>
      </c>
      <c r="N259" s="60">
        <v>46580</v>
      </c>
    </row>
    <row r="260" spans="2:14" hidden="1" x14ac:dyDescent="0.3">
      <c r="B260" s="56" t="s">
        <v>263</v>
      </c>
      <c r="C260" s="57" t="s">
        <v>805</v>
      </c>
      <c r="D260" s="57" t="s">
        <v>877</v>
      </c>
      <c r="E260" s="57" t="s">
        <v>877</v>
      </c>
      <c r="F260" s="57" t="s">
        <v>877</v>
      </c>
      <c r="G260" t="s">
        <v>877</v>
      </c>
      <c r="H260" t="s">
        <v>877</v>
      </c>
      <c r="I260" s="57" t="s">
        <v>878</v>
      </c>
      <c r="J260" s="57" t="s">
        <v>879</v>
      </c>
      <c r="K260" s="57" t="s">
        <v>267</v>
      </c>
      <c r="L260" s="58" t="s">
        <v>307</v>
      </c>
      <c r="M260" s="59">
        <v>46580</v>
      </c>
      <c r="N260" s="60">
        <v>46611</v>
      </c>
    </row>
    <row r="261" spans="2:14" hidden="1" x14ac:dyDescent="0.3">
      <c r="B261" s="56" t="s">
        <v>263</v>
      </c>
      <c r="C261" s="57" t="s">
        <v>805</v>
      </c>
      <c r="D261" s="57" t="s">
        <v>880</v>
      </c>
      <c r="E261" s="57" t="s">
        <v>880</v>
      </c>
      <c r="F261" s="57" t="s">
        <v>880</v>
      </c>
      <c r="G261" t="s">
        <v>880</v>
      </c>
      <c r="H261" t="s">
        <v>880</v>
      </c>
      <c r="I261" s="57" t="s">
        <v>881</v>
      </c>
      <c r="J261" s="57" t="s">
        <v>882</v>
      </c>
      <c r="K261" s="57" t="s">
        <v>267</v>
      </c>
      <c r="L261" s="58" t="s">
        <v>311</v>
      </c>
      <c r="M261" s="59">
        <v>46278</v>
      </c>
      <c r="N261" s="60">
        <v>46302</v>
      </c>
    </row>
    <row r="262" spans="2:14" hidden="1" x14ac:dyDescent="0.3">
      <c r="B262" s="56" t="s">
        <v>263</v>
      </c>
      <c r="C262" s="57" t="s">
        <v>883</v>
      </c>
      <c r="D262" s="57" t="s">
        <v>283</v>
      </c>
      <c r="E262" s="57" t="s">
        <v>884</v>
      </c>
      <c r="F262" s="57" t="s">
        <v>556</v>
      </c>
      <c r="G262" t="s">
        <v>556</v>
      </c>
      <c r="H262" t="s">
        <v>885</v>
      </c>
      <c r="I262" s="57" t="s">
        <v>886</v>
      </c>
      <c r="J262" s="57" t="s">
        <v>887</v>
      </c>
      <c r="K262" s="57" t="s">
        <v>267</v>
      </c>
      <c r="L262" s="58" t="s">
        <v>397</v>
      </c>
      <c r="M262" s="59">
        <v>46028</v>
      </c>
      <c r="N262" s="60">
        <v>46048</v>
      </c>
    </row>
    <row r="263" spans="2:14" hidden="1" x14ac:dyDescent="0.3">
      <c r="B263" s="56" t="s">
        <v>263</v>
      </c>
      <c r="C263" s="57" t="s">
        <v>883</v>
      </c>
      <c r="D263" s="57" t="s">
        <v>283</v>
      </c>
      <c r="E263" s="57" t="s">
        <v>884</v>
      </c>
      <c r="F263" s="57" t="s">
        <v>556</v>
      </c>
      <c r="G263" t="s">
        <v>556</v>
      </c>
      <c r="H263" t="s">
        <v>888</v>
      </c>
      <c r="I263" s="57" t="s">
        <v>886</v>
      </c>
      <c r="J263" s="57" t="s">
        <v>889</v>
      </c>
      <c r="K263" s="57" t="s">
        <v>267</v>
      </c>
      <c r="L263" s="58" t="s">
        <v>397</v>
      </c>
      <c r="M263" s="59">
        <v>46028</v>
      </c>
      <c r="N263" s="60">
        <v>46048</v>
      </c>
    </row>
    <row r="264" spans="2:14" hidden="1" x14ac:dyDescent="0.3">
      <c r="B264" s="56" t="s">
        <v>263</v>
      </c>
      <c r="C264" s="57" t="s">
        <v>883</v>
      </c>
      <c r="D264" s="57" t="s">
        <v>283</v>
      </c>
      <c r="E264" s="57" t="s">
        <v>884</v>
      </c>
      <c r="F264" s="57" t="s">
        <v>572</v>
      </c>
      <c r="G264" t="s">
        <v>572</v>
      </c>
      <c r="H264" t="s">
        <v>885</v>
      </c>
      <c r="I264" s="57" t="s">
        <v>890</v>
      </c>
      <c r="J264" s="57" t="s">
        <v>891</v>
      </c>
      <c r="K264" s="57" t="s">
        <v>267</v>
      </c>
      <c r="L264" s="58" t="s">
        <v>397</v>
      </c>
      <c r="M264" s="59">
        <v>46028</v>
      </c>
      <c r="N264" s="60">
        <v>46048</v>
      </c>
    </row>
    <row r="265" spans="2:14" hidden="1" x14ac:dyDescent="0.3">
      <c r="B265" s="56" t="s">
        <v>263</v>
      </c>
      <c r="C265" s="57" t="s">
        <v>883</v>
      </c>
      <c r="D265" s="57" t="s">
        <v>283</v>
      </c>
      <c r="E265" s="57" t="s">
        <v>884</v>
      </c>
      <c r="F265" s="57" t="s">
        <v>572</v>
      </c>
      <c r="G265" t="s">
        <v>572</v>
      </c>
      <c r="H265" t="s">
        <v>888</v>
      </c>
      <c r="I265" s="57" t="s">
        <v>890</v>
      </c>
      <c r="J265" s="57" t="s">
        <v>892</v>
      </c>
      <c r="K265" s="57" t="s">
        <v>267</v>
      </c>
      <c r="L265" s="58" t="s">
        <v>397</v>
      </c>
      <c r="M265" s="59">
        <v>46028</v>
      </c>
      <c r="N265" s="60">
        <v>46048</v>
      </c>
    </row>
    <row r="266" spans="2:14" hidden="1" x14ac:dyDescent="0.3">
      <c r="B266" s="56" t="s">
        <v>263</v>
      </c>
      <c r="C266" s="57" t="s">
        <v>883</v>
      </c>
      <c r="D266" s="57" t="s">
        <v>283</v>
      </c>
      <c r="E266" s="57" t="s">
        <v>884</v>
      </c>
      <c r="F266" s="57" t="s">
        <v>583</v>
      </c>
      <c r="G266" t="s">
        <v>583</v>
      </c>
      <c r="H266" t="s">
        <v>885</v>
      </c>
      <c r="I266" s="57" t="s">
        <v>893</v>
      </c>
      <c r="J266" s="57" t="s">
        <v>894</v>
      </c>
      <c r="K266" s="57" t="s">
        <v>267</v>
      </c>
      <c r="L266" s="58" t="s">
        <v>397</v>
      </c>
      <c r="M266" s="59">
        <v>46056</v>
      </c>
      <c r="N266" s="60">
        <v>46077</v>
      </c>
    </row>
    <row r="267" spans="2:14" hidden="1" x14ac:dyDescent="0.3">
      <c r="B267" s="56" t="s">
        <v>263</v>
      </c>
      <c r="C267" s="57" t="s">
        <v>883</v>
      </c>
      <c r="D267" s="57" t="s">
        <v>283</v>
      </c>
      <c r="E267" s="57" t="s">
        <v>884</v>
      </c>
      <c r="F267" s="57" t="s">
        <v>583</v>
      </c>
      <c r="G267" t="s">
        <v>583</v>
      </c>
      <c r="H267" t="s">
        <v>888</v>
      </c>
      <c r="I267" s="57" t="s">
        <v>893</v>
      </c>
      <c r="J267" s="57" t="s">
        <v>895</v>
      </c>
      <c r="K267" s="57" t="s">
        <v>267</v>
      </c>
      <c r="L267" s="58" t="s">
        <v>397</v>
      </c>
      <c r="M267" s="59">
        <v>46056</v>
      </c>
      <c r="N267" s="60">
        <v>46077</v>
      </c>
    </row>
    <row r="268" spans="2:14" hidden="1" x14ac:dyDescent="0.3">
      <c r="B268" s="56" t="s">
        <v>263</v>
      </c>
      <c r="C268" s="57" t="s">
        <v>883</v>
      </c>
      <c r="D268" s="57" t="s">
        <v>283</v>
      </c>
      <c r="E268" s="57" t="s">
        <v>884</v>
      </c>
      <c r="F268" s="57" t="s">
        <v>594</v>
      </c>
      <c r="G268" t="s">
        <v>594</v>
      </c>
      <c r="H268" t="s">
        <v>885</v>
      </c>
      <c r="I268" s="57" t="s">
        <v>896</v>
      </c>
      <c r="J268" s="57" t="s">
        <v>897</v>
      </c>
      <c r="K268" s="57" t="s">
        <v>267</v>
      </c>
      <c r="L268" s="58" t="s">
        <v>397</v>
      </c>
      <c r="M268" s="59">
        <v>46086</v>
      </c>
      <c r="N268" s="60">
        <v>46109</v>
      </c>
    </row>
    <row r="269" spans="2:14" hidden="1" x14ac:dyDescent="0.3">
      <c r="B269" s="56" t="s">
        <v>263</v>
      </c>
      <c r="C269" s="57" t="s">
        <v>883</v>
      </c>
      <c r="D269" s="57" t="s">
        <v>283</v>
      </c>
      <c r="E269" s="57" t="s">
        <v>884</v>
      </c>
      <c r="F269" s="57" t="s">
        <v>594</v>
      </c>
      <c r="G269" t="s">
        <v>594</v>
      </c>
      <c r="H269" t="s">
        <v>888</v>
      </c>
      <c r="I269" s="57" t="s">
        <v>896</v>
      </c>
      <c r="J269" s="57" t="s">
        <v>898</v>
      </c>
      <c r="K269" s="57" t="s">
        <v>267</v>
      </c>
      <c r="L269" s="58" t="s">
        <v>397</v>
      </c>
      <c r="M269" s="59">
        <v>46086</v>
      </c>
      <c r="N269" s="60">
        <v>46109</v>
      </c>
    </row>
    <row r="270" spans="2:14" hidden="1" x14ac:dyDescent="0.3">
      <c r="B270" s="56" t="s">
        <v>263</v>
      </c>
      <c r="C270" s="57" t="s">
        <v>883</v>
      </c>
      <c r="D270" s="57" t="s">
        <v>283</v>
      </c>
      <c r="E270" s="57" t="s">
        <v>884</v>
      </c>
      <c r="F270" s="57" t="s">
        <v>605</v>
      </c>
      <c r="G270" t="s">
        <v>605</v>
      </c>
      <c r="H270" t="s">
        <v>885</v>
      </c>
      <c r="I270" s="57" t="s">
        <v>899</v>
      </c>
      <c r="J270" s="57" t="s">
        <v>900</v>
      </c>
      <c r="K270" s="57" t="s">
        <v>267</v>
      </c>
      <c r="L270" s="58" t="s">
        <v>397</v>
      </c>
      <c r="M270" s="59">
        <v>46110</v>
      </c>
      <c r="N270" s="60">
        <v>46130</v>
      </c>
    </row>
    <row r="271" spans="2:14" hidden="1" x14ac:dyDescent="0.3">
      <c r="B271" s="56" t="s">
        <v>263</v>
      </c>
      <c r="C271" s="57" t="s">
        <v>883</v>
      </c>
      <c r="D271" s="57" t="s">
        <v>283</v>
      </c>
      <c r="E271" s="57" t="s">
        <v>884</v>
      </c>
      <c r="F271" s="57" t="s">
        <v>605</v>
      </c>
      <c r="G271" t="s">
        <v>605</v>
      </c>
      <c r="H271" t="s">
        <v>888</v>
      </c>
      <c r="I271" s="57" t="s">
        <v>899</v>
      </c>
      <c r="J271" s="57" t="s">
        <v>901</v>
      </c>
      <c r="K271" s="57" t="s">
        <v>267</v>
      </c>
      <c r="L271" s="58" t="s">
        <v>397</v>
      </c>
      <c r="M271" s="59">
        <v>46110</v>
      </c>
      <c r="N271" s="60">
        <v>46130</v>
      </c>
    </row>
    <row r="272" spans="2:14" hidden="1" x14ac:dyDescent="0.3">
      <c r="B272" s="56" t="s">
        <v>263</v>
      </c>
      <c r="C272" s="57" t="s">
        <v>883</v>
      </c>
      <c r="D272" s="57" t="s">
        <v>283</v>
      </c>
      <c r="E272" s="57" t="s">
        <v>884</v>
      </c>
      <c r="F272" s="57" t="s">
        <v>616</v>
      </c>
      <c r="G272" t="s">
        <v>616</v>
      </c>
      <c r="H272" t="s">
        <v>885</v>
      </c>
      <c r="I272" s="57" t="s">
        <v>902</v>
      </c>
      <c r="J272" s="57" t="s">
        <v>903</v>
      </c>
      <c r="K272" s="57" t="s">
        <v>267</v>
      </c>
      <c r="L272" s="58" t="s">
        <v>397</v>
      </c>
      <c r="M272" s="59">
        <v>46135</v>
      </c>
      <c r="N272" s="60">
        <v>46155</v>
      </c>
    </row>
    <row r="273" spans="2:14" hidden="1" x14ac:dyDescent="0.3">
      <c r="B273" s="56" t="s">
        <v>263</v>
      </c>
      <c r="C273" s="57" t="s">
        <v>883</v>
      </c>
      <c r="D273" s="57" t="s">
        <v>283</v>
      </c>
      <c r="E273" s="57" t="s">
        <v>884</v>
      </c>
      <c r="F273" s="57" t="s">
        <v>616</v>
      </c>
      <c r="G273" t="s">
        <v>616</v>
      </c>
      <c r="H273" t="s">
        <v>888</v>
      </c>
      <c r="I273" s="57" t="s">
        <v>902</v>
      </c>
      <c r="J273" s="57" t="s">
        <v>904</v>
      </c>
      <c r="K273" s="57" t="s">
        <v>267</v>
      </c>
      <c r="L273" s="58" t="s">
        <v>397</v>
      </c>
      <c r="M273" s="59">
        <v>46135</v>
      </c>
      <c r="N273" s="60">
        <v>46155</v>
      </c>
    </row>
    <row r="274" spans="2:14" hidden="1" x14ac:dyDescent="0.3">
      <c r="B274" s="56" t="s">
        <v>263</v>
      </c>
      <c r="C274" s="57" t="s">
        <v>883</v>
      </c>
      <c r="D274" s="57" t="s">
        <v>283</v>
      </c>
      <c r="E274" s="57" t="s">
        <v>884</v>
      </c>
      <c r="F274" s="57" t="s">
        <v>627</v>
      </c>
      <c r="G274" t="s">
        <v>627</v>
      </c>
      <c r="H274" t="s">
        <v>885</v>
      </c>
      <c r="I274" s="57" t="s">
        <v>905</v>
      </c>
      <c r="J274" s="57" t="s">
        <v>906</v>
      </c>
      <c r="K274" s="57" t="s">
        <v>267</v>
      </c>
      <c r="L274" s="58" t="s">
        <v>397</v>
      </c>
      <c r="M274" s="59">
        <v>46165</v>
      </c>
      <c r="N274" s="60">
        <v>46188</v>
      </c>
    </row>
    <row r="275" spans="2:14" hidden="1" x14ac:dyDescent="0.3">
      <c r="B275" s="56" t="s">
        <v>263</v>
      </c>
      <c r="C275" s="57" t="s">
        <v>883</v>
      </c>
      <c r="D275" s="57" t="s">
        <v>283</v>
      </c>
      <c r="E275" s="57" t="s">
        <v>884</v>
      </c>
      <c r="F275" s="57" t="s">
        <v>627</v>
      </c>
      <c r="G275" t="s">
        <v>627</v>
      </c>
      <c r="H275" t="s">
        <v>888</v>
      </c>
      <c r="I275" s="57" t="s">
        <v>905</v>
      </c>
      <c r="J275" s="57" t="s">
        <v>907</v>
      </c>
      <c r="K275" s="57" t="s">
        <v>267</v>
      </c>
      <c r="L275" s="58" t="s">
        <v>397</v>
      </c>
      <c r="M275" s="59">
        <v>46165</v>
      </c>
      <c r="N275" s="60">
        <v>46188</v>
      </c>
    </row>
    <row r="276" spans="2:14" hidden="1" x14ac:dyDescent="0.3">
      <c r="B276" s="56" t="s">
        <v>263</v>
      </c>
      <c r="C276" s="57" t="s">
        <v>883</v>
      </c>
      <c r="D276" s="57" t="s">
        <v>283</v>
      </c>
      <c r="E276" s="57" t="s">
        <v>884</v>
      </c>
      <c r="F276" s="57" t="s">
        <v>638</v>
      </c>
      <c r="G276" t="s">
        <v>638</v>
      </c>
      <c r="H276" t="s">
        <v>885</v>
      </c>
      <c r="I276" s="57" t="s">
        <v>908</v>
      </c>
      <c r="J276" s="57" t="s">
        <v>909</v>
      </c>
      <c r="K276" s="57" t="s">
        <v>267</v>
      </c>
      <c r="L276" s="58" t="s">
        <v>397</v>
      </c>
      <c r="M276" s="59">
        <v>46197</v>
      </c>
      <c r="N276" s="60">
        <v>46217</v>
      </c>
    </row>
    <row r="277" spans="2:14" hidden="1" x14ac:dyDescent="0.3">
      <c r="B277" s="56" t="s">
        <v>263</v>
      </c>
      <c r="C277" s="57" t="s">
        <v>883</v>
      </c>
      <c r="D277" s="57" t="s">
        <v>283</v>
      </c>
      <c r="E277" s="57" t="s">
        <v>884</v>
      </c>
      <c r="F277" s="57" t="s">
        <v>638</v>
      </c>
      <c r="G277" t="s">
        <v>638</v>
      </c>
      <c r="H277" t="s">
        <v>888</v>
      </c>
      <c r="I277" s="57" t="s">
        <v>908</v>
      </c>
      <c r="J277" s="57" t="s">
        <v>910</v>
      </c>
      <c r="K277" s="57" t="s">
        <v>267</v>
      </c>
      <c r="L277" s="58" t="s">
        <v>397</v>
      </c>
      <c r="M277" s="59">
        <v>46197</v>
      </c>
      <c r="N277" s="60">
        <v>46217</v>
      </c>
    </row>
    <row r="278" spans="2:14" hidden="1" x14ac:dyDescent="0.3">
      <c r="B278" s="56" t="s">
        <v>263</v>
      </c>
      <c r="C278" s="57" t="s">
        <v>883</v>
      </c>
      <c r="D278" s="57" t="s">
        <v>283</v>
      </c>
      <c r="E278" s="57" t="s">
        <v>884</v>
      </c>
      <c r="F278" s="57" t="s">
        <v>649</v>
      </c>
      <c r="G278" t="s">
        <v>649</v>
      </c>
      <c r="H278" t="s">
        <v>885</v>
      </c>
      <c r="I278" s="57" t="s">
        <v>911</v>
      </c>
      <c r="J278" s="57" t="s">
        <v>912</v>
      </c>
      <c r="K278" s="57" t="s">
        <v>267</v>
      </c>
      <c r="L278" s="58" t="s">
        <v>397</v>
      </c>
      <c r="M278" s="59">
        <v>46226</v>
      </c>
      <c r="N278" s="60">
        <v>46246</v>
      </c>
    </row>
    <row r="279" spans="2:14" hidden="1" x14ac:dyDescent="0.3">
      <c r="B279" s="56" t="s">
        <v>263</v>
      </c>
      <c r="C279" s="57" t="s">
        <v>883</v>
      </c>
      <c r="D279" s="57" t="s">
        <v>283</v>
      </c>
      <c r="E279" s="57" t="s">
        <v>884</v>
      </c>
      <c r="F279" s="57" t="s">
        <v>649</v>
      </c>
      <c r="G279" t="s">
        <v>649</v>
      </c>
      <c r="H279" t="s">
        <v>888</v>
      </c>
      <c r="I279" s="57" t="s">
        <v>911</v>
      </c>
      <c r="J279" s="57" t="s">
        <v>913</v>
      </c>
      <c r="K279" s="57" t="s">
        <v>267</v>
      </c>
      <c r="L279" s="58" t="s">
        <v>397</v>
      </c>
      <c r="M279" s="59">
        <v>46226</v>
      </c>
      <c r="N279" s="60">
        <v>46246</v>
      </c>
    </row>
    <row r="280" spans="2:14" hidden="1" x14ac:dyDescent="0.3">
      <c r="B280" s="56" t="s">
        <v>263</v>
      </c>
      <c r="C280" s="57" t="s">
        <v>883</v>
      </c>
      <c r="D280" s="57" t="s">
        <v>283</v>
      </c>
      <c r="E280" s="57" t="s">
        <v>884</v>
      </c>
      <c r="F280" s="57" t="s">
        <v>660</v>
      </c>
      <c r="G280" t="s">
        <v>660</v>
      </c>
      <c r="H280" t="s">
        <v>885</v>
      </c>
      <c r="I280" s="57" t="s">
        <v>914</v>
      </c>
      <c r="J280" s="57" t="s">
        <v>915</v>
      </c>
      <c r="K280" s="57" t="s">
        <v>267</v>
      </c>
      <c r="L280" s="58" t="s">
        <v>397</v>
      </c>
      <c r="M280" s="59">
        <v>46256</v>
      </c>
      <c r="N280" s="60">
        <v>46275</v>
      </c>
    </row>
    <row r="281" spans="2:14" hidden="1" x14ac:dyDescent="0.3">
      <c r="B281" s="56" t="s">
        <v>263</v>
      </c>
      <c r="C281" s="57" t="s">
        <v>883</v>
      </c>
      <c r="D281" s="57" t="s">
        <v>283</v>
      </c>
      <c r="E281" s="57" t="s">
        <v>884</v>
      </c>
      <c r="F281" s="57" t="s">
        <v>660</v>
      </c>
      <c r="G281" t="s">
        <v>660</v>
      </c>
      <c r="H281" t="s">
        <v>888</v>
      </c>
      <c r="I281" s="57" t="s">
        <v>914</v>
      </c>
      <c r="J281" s="57" t="s">
        <v>916</v>
      </c>
      <c r="K281" s="57" t="s">
        <v>267</v>
      </c>
      <c r="L281" s="58" t="s">
        <v>397</v>
      </c>
      <c r="M281" s="59">
        <v>46256</v>
      </c>
      <c r="N281" s="60">
        <v>46275</v>
      </c>
    </row>
    <row r="282" spans="2:14" hidden="1" x14ac:dyDescent="0.3">
      <c r="B282" s="56" t="s">
        <v>263</v>
      </c>
      <c r="C282" s="57" t="s">
        <v>883</v>
      </c>
      <c r="D282" s="57" t="s">
        <v>283</v>
      </c>
      <c r="E282" s="57" t="s">
        <v>884</v>
      </c>
      <c r="F282" s="57" t="s">
        <v>671</v>
      </c>
      <c r="G282" t="s">
        <v>671</v>
      </c>
      <c r="H282" t="s">
        <v>885</v>
      </c>
      <c r="I282" s="57" t="s">
        <v>917</v>
      </c>
      <c r="J282" s="57" t="s">
        <v>918</v>
      </c>
      <c r="K282" s="57" t="s">
        <v>267</v>
      </c>
      <c r="L282" s="58" t="s">
        <v>397</v>
      </c>
      <c r="M282" s="59">
        <v>46256</v>
      </c>
      <c r="N282" s="60">
        <v>46275</v>
      </c>
    </row>
    <row r="283" spans="2:14" hidden="1" x14ac:dyDescent="0.3">
      <c r="B283" s="56" t="s">
        <v>263</v>
      </c>
      <c r="C283" s="57" t="s">
        <v>883</v>
      </c>
      <c r="D283" s="57" t="s">
        <v>283</v>
      </c>
      <c r="E283" s="57" t="s">
        <v>884</v>
      </c>
      <c r="F283" s="57" t="s">
        <v>671</v>
      </c>
      <c r="G283" t="s">
        <v>671</v>
      </c>
      <c r="H283" t="s">
        <v>888</v>
      </c>
      <c r="I283" s="57" t="s">
        <v>917</v>
      </c>
      <c r="J283" s="57" t="s">
        <v>919</v>
      </c>
      <c r="K283" s="57" t="s">
        <v>267</v>
      </c>
      <c r="L283" s="58" t="s">
        <v>397</v>
      </c>
      <c r="M283" s="59">
        <v>46256</v>
      </c>
      <c r="N283" s="60">
        <v>46275</v>
      </c>
    </row>
    <row r="284" spans="2:14" hidden="1" x14ac:dyDescent="0.3">
      <c r="B284" s="56" t="s">
        <v>263</v>
      </c>
      <c r="C284" s="57" t="s">
        <v>883</v>
      </c>
      <c r="D284" s="57" t="s">
        <v>283</v>
      </c>
      <c r="E284" s="57" t="s">
        <v>884</v>
      </c>
      <c r="F284" s="57" t="s">
        <v>682</v>
      </c>
      <c r="G284" t="s">
        <v>682</v>
      </c>
      <c r="H284" t="s">
        <v>885</v>
      </c>
      <c r="I284" s="57" t="s">
        <v>920</v>
      </c>
      <c r="J284" s="57" t="s">
        <v>921</v>
      </c>
      <c r="K284" s="57" t="s">
        <v>267</v>
      </c>
      <c r="L284" s="58" t="s">
        <v>397</v>
      </c>
      <c r="M284" s="59">
        <v>46277</v>
      </c>
      <c r="N284" s="60">
        <v>46298</v>
      </c>
    </row>
    <row r="285" spans="2:14" hidden="1" x14ac:dyDescent="0.3">
      <c r="B285" s="56" t="s">
        <v>263</v>
      </c>
      <c r="C285" s="57" t="s">
        <v>883</v>
      </c>
      <c r="D285" s="57" t="s">
        <v>283</v>
      </c>
      <c r="E285" s="57" t="s">
        <v>884</v>
      </c>
      <c r="F285" s="57" t="s">
        <v>682</v>
      </c>
      <c r="G285" t="s">
        <v>682</v>
      </c>
      <c r="H285" t="s">
        <v>888</v>
      </c>
      <c r="I285" s="57" t="s">
        <v>920</v>
      </c>
      <c r="J285" s="57" t="s">
        <v>922</v>
      </c>
      <c r="K285" s="57" t="s">
        <v>267</v>
      </c>
      <c r="L285" s="58" t="s">
        <v>397</v>
      </c>
      <c r="M285" s="59">
        <v>46277</v>
      </c>
      <c r="N285" s="60">
        <v>46298</v>
      </c>
    </row>
    <row r="286" spans="2:14" hidden="1" x14ac:dyDescent="0.3">
      <c r="B286" s="56" t="s">
        <v>263</v>
      </c>
      <c r="C286" s="57" t="s">
        <v>883</v>
      </c>
      <c r="D286" s="57" t="s">
        <v>283</v>
      </c>
      <c r="E286" s="57" t="s">
        <v>923</v>
      </c>
      <c r="F286" s="57" t="s">
        <v>556</v>
      </c>
      <c r="G286" t="s">
        <v>924</v>
      </c>
      <c r="H286" t="s">
        <v>924</v>
      </c>
      <c r="I286" s="57" t="s">
        <v>925</v>
      </c>
      <c r="J286" s="57" t="s">
        <v>926</v>
      </c>
      <c r="K286" s="57" t="s">
        <v>267</v>
      </c>
      <c r="L286" s="58" t="s">
        <v>307</v>
      </c>
      <c r="M286" s="59">
        <v>46110</v>
      </c>
      <c r="N286" s="60">
        <v>46141</v>
      </c>
    </row>
    <row r="287" spans="2:14" hidden="1" x14ac:dyDescent="0.3">
      <c r="B287" s="56" t="s">
        <v>263</v>
      </c>
      <c r="C287" s="57" t="s">
        <v>883</v>
      </c>
      <c r="D287" s="57" t="s">
        <v>283</v>
      </c>
      <c r="E287" s="57" t="s">
        <v>923</v>
      </c>
      <c r="F287" s="57" t="s">
        <v>556</v>
      </c>
      <c r="G287" t="s">
        <v>927</v>
      </c>
      <c r="H287" t="s">
        <v>927</v>
      </c>
      <c r="I287" s="57" t="s">
        <v>925</v>
      </c>
      <c r="J287" s="57" t="s">
        <v>928</v>
      </c>
      <c r="K287" s="57" t="s">
        <v>267</v>
      </c>
      <c r="L287" s="58" t="s">
        <v>307</v>
      </c>
      <c r="M287" s="59">
        <v>46110</v>
      </c>
      <c r="N287" s="60">
        <v>46141</v>
      </c>
    </row>
    <row r="288" spans="2:14" hidden="1" x14ac:dyDescent="0.3">
      <c r="B288" s="56" t="s">
        <v>263</v>
      </c>
      <c r="C288" s="57" t="s">
        <v>883</v>
      </c>
      <c r="D288" s="57" t="s">
        <v>283</v>
      </c>
      <c r="E288" s="57" t="s">
        <v>923</v>
      </c>
      <c r="F288" s="57" t="s">
        <v>556</v>
      </c>
      <c r="G288" t="s">
        <v>929</v>
      </c>
      <c r="H288" t="s">
        <v>929</v>
      </c>
      <c r="I288" s="57" t="s">
        <v>925</v>
      </c>
      <c r="J288" s="57" t="s">
        <v>930</v>
      </c>
      <c r="K288" s="57" t="s">
        <v>267</v>
      </c>
      <c r="L288" s="58" t="s">
        <v>307</v>
      </c>
      <c r="M288" s="59">
        <v>46110</v>
      </c>
      <c r="N288" s="60">
        <v>46141</v>
      </c>
    </row>
    <row r="289" spans="2:14" hidden="1" x14ac:dyDescent="0.3">
      <c r="B289" s="56" t="s">
        <v>263</v>
      </c>
      <c r="C289" s="57" t="s">
        <v>883</v>
      </c>
      <c r="D289" s="57" t="s">
        <v>283</v>
      </c>
      <c r="E289" s="57" t="s">
        <v>923</v>
      </c>
      <c r="F289" s="57" t="s">
        <v>556</v>
      </c>
      <c r="G289" t="s">
        <v>931</v>
      </c>
      <c r="H289" t="s">
        <v>931</v>
      </c>
      <c r="I289" s="57" t="s">
        <v>925</v>
      </c>
      <c r="J289" s="57" t="s">
        <v>932</v>
      </c>
      <c r="K289" s="57" t="s">
        <v>267</v>
      </c>
      <c r="L289" s="58" t="s">
        <v>307</v>
      </c>
      <c r="M289" s="59">
        <v>46110</v>
      </c>
      <c r="N289" s="60">
        <v>46141</v>
      </c>
    </row>
    <row r="290" spans="2:14" hidden="1" x14ac:dyDescent="0.3">
      <c r="B290" s="56" t="s">
        <v>263</v>
      </c>
      <c r="C290" s="57" t="s">
        <v>883</v>
      </c>
      <c r="D290" s="57" t="s">
        <v>283</v>
      </c>
      <c r="E290" s="57" t="s">
        <v>923</v>
      </c>
      <c r="F290" s="57" t="s">
        <v>556</v>
      </c>
      <c r="G290" t="s">
        <v>933</v>
      </c>
      <c r="H290" t="s">
        <v>933</v>
      </c>
      <c r="I290" s="57" t="s">
        <v>925</v>
      </c>
      <c r="J290" s="57" t="s">
        <v>934</v>
      </c>
      <c r="K290" s="57" t="s">
        <v>267</v>
      </c>
      <c r="L290" s="58" t="s">
        <v>307</v>
      </c>
      <c r="M290" s="59">
        <v>46110</v>
      </c>
      <c r="N290" s="60">
        <v>46141</v>
      </c>
    </row>
    <row r="291" spans="2:14" hidden="1" x14ac:dyDescent="0.3">
      <c r="B291" s="56" t="s">
        <v>263</v>
      </c>
      <c r="C291" s="57" t="s">
        <v>883</v>
      </c>
      <c r="D291" s="57" t="s">
        <v>283</v>
      </c>
      <c r="E291" s="57" t="s">
        <v>923</v>
      </c>
      <c r="F291" s="57" t="s">
        <v>572</v>
      </c>
      <c r="G291" t="s">
        <v>924</v>
      </c>
      <c r="H291" t="s">
        <v>924</v>
      </c>
      <c r="I291" s="57" t="s">
        <v>935</v>
      </c>
      <c r="J291" s="57" t="s">
        <v>936</v>
      </c>
      <c r="K291" s="57" t="s">
        <v>267</v>
      </c>
      <c r="L291" s="58" t="s">
        <v>307</v>
      </c>
      <c r="M291" s="59">
        <v>46142</v>
      </c>
      <c r="N291" s="60">
        <v>46177</v>
      </c>
    </row>
    <row r="292" spans="2:14" hidden="1" x14ac:dyDescent="0.3">
      <c r="B292" s="56" t="s">
        <v>263</v>
      </c>
      <c r="C292" s="57" t="s">
        <v>883</v>
      </c>
      <c r="D292" s="57" t="s">
        <v>283</v>
      </c>
      <c r="E292" s="57" t="s">
        <v>923</v>
      </c>
      <c r="F292" s="57" t="s">
        <v>572</v>
      </c>
      <c r="G292" t="s">
        <v>927</v>
      </c>
      <c r="H292" t="s">
        <v>927</v>
      </c>
      <c r="I292" s="57" t="s">
        <v>935</v>
      </c>
      <c r="J292" s="57" t="s">
        <v>937</v>
      </c>
      <c r="K292" s="57" t="s">
        <v>267</v>
      </c>
      <c r="L292" s="58" t="s">
        <v>307</v>
      </c>
      <c r="M292" s="59">
        <v>46142</v>
      </c>
      <c r="N292" s="60">
        <v>46177</v>
      </c>
    </row>
    <row r="293" spans="2:14" hidden="1" x14ac:dyDescent="0.3">
      <c r="B293" s="56" t="s">
        <v>263</v>
      </c>
      <c r="C293" s="57" t="s">
        <v>883</v>
      </c>
      <c r="D293" s="57" t="s">
        <v>283</v>
      </c>
      <c r="E293" s="57" t="s">
        <v>923</v>
      </c>
      <c r="F293" s="57" t="s">
        <v>572</v>
      </c>
      <c r="G293" t="s">
        <v>929</v>
      </c>
      <c r="H293" t="s">
        <v>929</v>
      </c>
      <c r="I293" s="57" t="s">
        <v>935</v>
      </c>
      <c r="J293" s="57" t="s">
        <v>938</v>
      </c>
      <c r="K293" s="57" t="s">
        <v>267</v>
      </c>
      <c r="L293" s="58" t="s">
        <v>307</v>
      </c>
      <c r="M293" s="59">
        <v>46142</v>
      </c>
      <c r="N293" s="60">
        <v>46177</v>
      </c>
    </row>
    <row r="294" spans="2:14" hidden="1" x14ac:dyDescent="0.3">
      <c r="B294" s="56" t="s">
        <v>263</v>
      </c>
      <c r="C294" s="57" t="s">
        <v>883</v>
      </c>
      <c r="D294" s="57" t="s">
        <v>283</v>
      </c>
      <c r="E294" s="57" t="s">
        <v>923</v>
      </c>
      <c r="F294" s="57" t="s">
        <v>572</v>
      </c>
      <c r="G294" t="s">
        <v>931</v>
      </c>
      <c r="H294" t="s">
        <v>931</v>
      </c>
      <c r="I294" s="57" t="s">
        <v>935</v>
      </c>
      <c r="J294" s="57" t="s">
        <v>939</v>
      </c>
      <c r="K294" s="57" t="s">
        <v>267</v>
      </c>
      <c r="L294" s="58" t="s">
        <v>307</v>
      </c>
      <c r="M294" s="59">
        <v>46142</v>
      </c>
      <c r="N294" s="60">
        <v>46177</v>
      </c>
    </row>
    <row r="295" spans="2:14" hidden="1" x14ac:dyDescent="0.3">
      <c r="B295" s="56" t="s">
        <v>263</v>
      </c>
      <c r="C295" s="57" t="s">
        <v>883</v>
      </c>
      <c r="D295" s="57" t="s">
        <v>283</v>
      </c>
      <c r="E295" s="57" t="s">
        <v>923</v>
      </c>
      <c r="F295" s="57" t="s">
        <v>572</v>
      </c>
      <c r="G295" t="s">
        <v>933</v>
      </c>
      <c r="H295" t="s">
        <v>933</v>
      </c>
      <c r="I295" s="57" t="s">
        <v>935</v>
      </c>
      <c r="J295" s="57" t="s">
        <v>940</v>
      </c>
      <c r="K295" s="57" t="s">
        <v>267</v>
      </c>
      <c r="L295" s="58" t="s">
        <v>307</v>
      </c>
      <c r="M295" s="59">
        <v>46142</v>
      </c>
      <c r="N295" s="60">
        <v>46177</v>
      </c>
    </row>
    <row r="296" spans="2:14" hidden="1" x14ac:dyDescent="0.3">
      <c r="B296" s="56" t="s">
        <v>263</v>
      </c>
      <c r="C296" s="57" t="s">
        <v>883</v>
      </c>
      <c r="D296" s="57" t="s">
        <v>283</v>
      </c>
      <c r="E296" s="57" t="s">
        <v>923</v>
      </c>
      <c r="F296" s="57" t="s">
        <v>583</v>
      </c>
      <c r="G296" t="s">
        <v>924</v>
      </c>
      <c r="H296" t="s">
        <v>924</v>
      </c>
      <c r="I296" s="57" t="s">
        <v>941</v>
      </c>
      <c r="J296" s="57" t="s">
        <v>942</v>
      </c>
      <c r="K296" s="57" t="s">
        <v>267</v>
      </c>
      <c r="L296" s="58" t="s">
        <v>307</v>
      </c>
      <c r="M296" s="59">
        <v>46179</v>
      </c>
      <c r="N296" s="60">
        <v>46210</v>
      </c>
    </row>
    <row r="297" spans="2:14" hidden="1" x14ac:dyDescent="0.3">
      <c r="B297" s="56" t="s">
        <v>263</v>
      </c>
      <c r="C297" s="57" t="s">
        <v>883</v>
      </c>
      <c r="D297" s="57" t="s">
        <v>283</v>
      </c>
      <c r="E297" s="57" t="s">
        <v>923</v>
      </c>
      <c r="F297" s="57" t="s">
        <v>583</v>
      </c>
      <c r="G297" t="s">
        <v>927</v>
      </c>
      <c r="H297" t="s">
        <v>927</v>
      </c>
      <c r="I297" s="57" t="s">
        <v>941</v>
      </c>
      <c r="J297" s="57" t="s">
        <v>943</v>
      </c>
      <c r="K297" s="57" t="s">
        <v>267</v>
      </c>
      <c r="L297" s="58" t="s">
        <v>307</v>
      </c>
      <c r="M297" s="59">
        <v>46179</v>
      </c>
      <c r="N297" s="60">
        <v>46210</v>
      </c>
    </row>
    <row r="298" spans="2:14" hidden="1" x14ac:dyDescent="0.3">
      <c r="B298" s="56" t="s">
        <v>263</v>
      </c>
      <c r="C298" s="57" t="s">
        <v>883</v>
      </c>
      <c r="D298" s="57" t="s">
        <v>283</v>
      </c>
      <c r="E298" s="57" t="s">
        <v>923</v>
      </c>
      <c r="F298" s="57" t="s">
        <v>583</v>
      </c>
      <c r="G298" t="s">
        <v>929</v>
      </c>
      <c r="H298" t="s">
        <v>929</v>
      </c>
      <c r="I298" s="57" t="s">
        <v>941</v>
      </c>
      <c r="J298" s="57" t="s">
        <v>944</v>
      </c>
      <c r="K298" s="57" t="s">
        <v>267</v>
      </c>
      <c r="L298" s="58" t="s">
        <v>307</v>
      </c>
      <c r="M298" s="59">
        <v>46179</v>
      </c>
      <c r="N298" s="60">
        <v>46210</v>
      </c>
    </row>
    <row r="299" spans="2:14" hidden="1" x14ac:dyDescent="0.3">
      <c r="B299" s="56" t="s">
        <v>263</v>
      </c>
      <c r="C299" s="57" t="s">
        <v>883</v>
      </c>
      <c r="D299" s="57" t="s">
        <v>283</v>
      </c>
      <c r="E299" s="57" t="s">
        <v>923</v>
      </c>
      <c r="F299" s="57" t="s">
        <v>583</v>
      </c>
      <c r="G299" t="s">
        <v>931</v>
      </c>
      <c r="H299" t="s">
        <v>931</v>
      </c>
      <c r="I299" s="57" t="s">
        <v>941</v>
      </c>
      <c r="J299" s="57" t="s">
        <v>945</v>
      </c>
      <c r="K299" s="57" t="s">
        <v>267</v>
      </c>
      <c r="L299" s="58" t="s">
        <v>307</v>
      </c>
      <c r="M299" s="59">
        <v>46179</v>
      </c>
      <c r="N299" s="60">
        <v>46210</v>
      </c>
    </row>
    <row r="300" spans="2:14" hidden="1" x14ac:dyDescent="0.3">
      <c r="B300" s="56" t="s">
        <v>263</v>
      </c>
      <c r="C300" s="57" t="s">
        <v>883</v>
      </c>
      <c r="D300" s="57" t="s">
        <v>283</v>
      </c>
      <c r="E300" s="57" t="s">
        <v>923</v>
      </c>
      <c r="F300" s="57" t="s">
        <v>583</v>
      </c>
      <c r="G300" t="s">
        <v>933</v>
      </c>
      <c r="H300" t="s">
        <v>933</v>
      </c>
      <c r="I300" s="57" t="s">
        <v>941</v>
      </c>
      <c r="J300" s="57" t="s">
        <v>946</v>
      </c>
      <c r="K300" s="57" t="s">
        <v>267</v>
      </c>
      <c r="L300" s="58" t="s">
        <v>307</v>
      </c>
      <c r="M300" s="59">
        <v>46179</v>
      </c>
      <c r="N300" s="60">
        <v>46210</v>
      </c>
    </row>
    <row r="301" spans="2:14" hidden="1" x14ac:dyDescent="0.3">
      <c r="B301" s="56" t="s">
        <v>263</v>
      </c>
      <c r="C301" s="57" t="s">
        <v>883</v>
      </c>
      <c r="D301" s="57" t="s">
        <v>283</v>
      </c>
      <c r="E301" s="57" t="s">
        <v>923</v>
      </c>
      <c r="F301" s="57" t="s">
        <v>594</v>
      </c>
      <c r="G301" t="s">
        <v>924</v>
      </c>
      <c r="H301" t="s">
        <v>924</v>
      </c>
      <c r="I301" s="57" t="s">
        <v>947</v>
      </c>
      <c r="J301" s="57" t="s">
        <v>948</v>
      </c>
      <c r="K301" s="57" t="s">
        <v>267</v>
      </c>
      <c r="L301" s="58" t="s">
        <v>307</v>
      </c>
      <c r="M301" s="59">
        <v>46211</v>
      </c>
      <c r="N301" s="60">
        <v>46243</v>
      </c>
    </row>
    <row r="302" spans="2:14" hidden="1" x14ac:dyDescent="0.3">
      <c r="B302" s="56" t="s">
        <v>263</v>
      </c>
      <c r="C302" s="57" t="s">
        <v>883</v>
      </c>
      <c r="D302" s="57" t="s">
        <v>283</v>
      </c>
      <c r="E302" s="57" t="s">
        <v>923</v>
      </c>
      <c r="F302" s="57" t="s">
        <v>594</v>
      </c>
      <c r="G302" t="s">
        <v>927</v>
      </c>
      <c r="H302" t="s">
        <v>927</v>
      </c>
      <c r="I302" s="57" t="s">
        <v>947</v>
      </c>
      <c r="J302" s="57" t="s">
        <v>949</v>
      </c>
      <c r="K302" s="57" t="s">
        <v>267</v>
      </c>
      <c r="L302" s="58" t="s">
        <v>307</v>
      </c>
      <c r="M302" s="59">
        <v>46211</v>
      </c>
      <c r="N302" s="60">
        <v>46243</v>
      </c>
    </row>
    <row r="303" spans="2:14" hidden="1" x14ac:dyDescent="0.3">
      <c r="B303" s="56" t="s">
        <v>263</v>
      </c>
      <c r="C303" s="57" t="s">
        <v>883</v>
      </c>
      <c r="D303" s="57" t="s">
        <v>283</v>
      </c>
      <c r="E303" s="57" t="s">
        <v>923</v>
      </c>
      <c r="F303" s="57" t="s">
        <v>594</v>
      </c>
      <c r="G303" t="s">
        <v>929</v>
      </c>
      <c r="H303" t="s">
        <v>929</v>
      </c>
      <c r="I303" s="57" t="s">
        <v>947</v>
      </c>
      <c r="J303" s="57" t="s">
        <v>950</v>
      </c>
      <c r="K303" s="57" t="s">
        <v>267</v>
      </c>
      <c r="L303" s="58" t="s">
        <v>307</v>
      </c>
      <c r="M303" s="59">
        <v>46211</v>
      </c>
      <c r="N303" s="60">
        <v>46243</v>
      </c>
    </row>
    <row r="304" spans="2:14" hidden="1" x14ac:dyDescent="0.3">
      <c r="B304" s="56" t="s">
        <v>263</v>
      </c>
      <c r="C304" s="57" t="s">
        <v>883</v>
      </c>
      <c r="D304" s="57" t="s">
        <v>283</v>
      </c>
      <c r="E304" s="57" t="s">
        <v>923</v>
      </c>
      <c r="F304" s="57" t="s">
        <v>594</v>
      </c>
      <c r="G304" t="s">
        <v>931</v>
      </c>
      <c r="H304" t="s">
        <v>931</v>
      </c>
      <c r="I304" s="57" t="s">
        <v>947</v>
      </c>
      <c r="J304" s="57" t="s">
        <v>951</v>
      </c>
      <c r="K304" s="57" t="s">
        <v>267</v>
      </c>
      <c r="L304" s="58" t="s">
        <v>307</v>
      </c>
      <c r="M304" s="59">
        <v>46211</v>
      </c>
      <c r="N304" s="60">
        <v>46243</v>
      </c>
    </row>
    <row r="305" spans="2:14" hidden="1" x14ac:dyDescent="0.3">
      <c r="B305" s="56" t="s">
        <v>263</v>
      </c>
      <c r="C305" s="57" t="s">
        <v>883</v>
      </c>
      <c r="D305" s="57" t="s">
        <v>283</v>
      </c>
      <c r="E305" s="57" t="s">
        <v>923</v>
      </c>
      <c r="F305" s="57" t="s">
        <v>594</v>
      </c>
      <c r="G305" t="s">
        <v>933</v>
      </c>
      <c r="H305" t="s">
        <v>933</v>
      </c>
      <c r="I305" s="57" t="s">
        <v>947</v>
      </c>
      <c r="J305" s="57" t="s">
        <v>952</v>
      </c>
      <c r="K305" s="57" t="s">
        <v>267</v>
      </c>
      <c r="L305" s="58" t="s">
        <v>307</v>
      </c>
      <c r="M305" s="59">
        <v>46211</v>
      </c>
      <c r="N305" s="60">
        <v>46243</v>
      </c>
    </row>
    <row r="306" spans="2:14" hidden="1" x14ac:dyDescent="0.3">
      <c r="B306" s="56" t="s">
        <v>263</v>
      </c>
      <c r="C306" s="57" t="s">
        <v>883</v>
      </c>
      <c r="D306" s="57" t="s">
        <v>283</v>
      </c>
      <c r="E306" s="57" t="s">
        <v>923</v>
      </c>
      <c r="F306" s="57" t="s">
        <v>605</v>
      </c>
      <c r="G306" t="s">
        <v>924</v>
      </c>
      <c r="H306" t="s">
        <v>924</v>
      </c>
      <c r="I306" s="57" t="s">
        <v>953</v>
      </c>
      <c r="J306" s="57" t="s">
        <v>954</v>
      </c>
      <c r="K306" s="57" t="s">
        <v>267</v>
      </c>
      <c r="L306" s="58" t="s">
        <v>307</v>
      </c>
      <c r="M306" s="59">
        <v>46244</v>
      </c>
      <c r="N306" s="60">
        <v>46275</v>
      </c>
    </row>
    <row r="307" spans="2:14" hidden="1" x14ac:dyDescent="0.3">
      <c r="B307" s="56" t="s">
        <v>263</v>
      </c>
      <c r="C307" s="57" t="s">
        <v>883</v>
      </c>
      <c r="D307" s="57" t="s">
        <v>283</v>
      </c>
      <c r="E307" s="57" t="s">
        <v>923</v>
      </c>
      <c r="F307" s="57" t="s">
        <v>605</v>
      </c>
      <c r="G307" t="s">
        <v>927</v>
      </c>
      <c r="H307" t="s">
        <v>927</v>
      </c>
      <c r="I307" s="57" t="s">
        <v>953</v>
      </c>
      <c r="J307" s="57" t="s">
        <v>955</v>
      </c>
      <c r="K307" s="57" t="s">
        <v>267</v>
      </c>
      <c r="L307" s="58" t="s">
        <v>307</v>
      </c>
      <c r="M307" s="59">
        <v>46244</v>
      </c>
      <c r="N307" s="60">
        <v>46275</v>
      </c>
    </row>
    <row r="308" spans="2:14" hidden="1" x14ac:dyDescent="0.3">
      <c r="B308" s="56" t="s">
        <v>263</v>
      </c>
      <c r="C308" s="57" t="s">
        <v>883</v>
      </c>
      <c r="D308" s="57" t="s">
        <v>283</v>
      </c>
      <c r="E308" s="57" t="s">
        <v>923</v>
      </c>
      <c r="F308" s="57" t="s">
        <v>605</v>
      </c>
      <c r="G308" t="s">
        <v>929</v>
      </c>
      <c r="H308" t="s">
        <v>929</v>
      </c>
      <c r="I308" s="57" t="s">
        <v>953</v>
      </c>
      <c r="J308" s="57" t="s">
        <v>956</v>
      </c>
      <c r="K308" s="57" t="s">
        <v>267</v>
      </c>
      <c r="L308" s="58" t="s">
        <v>307</v>
      </c>
      <c r="M308" s="59">
        <v>46244</v>
      </c>
      <c r="N308" s="60">
        <v>46275</v>
      </c>
    </row>
    <row r="309" spans="2:14" hidden="1" x14ac:dyDescent="0.3">
      <c r="B309" s="56" t="s">
        <v>263</v>
      </c>
      <c r="C309" s="57" t="s">
        <v>883</v>
      </c>
      <c r="D309" s="57" t="s">
        <v>283</v>
      </c>
      <c r="E309" s="57" t="s">
        <v>923</v>
      </c>
      <c r="F309" s="57" t="s">
        <v>605</v>
      </c>
      <c r="G309" t="s">
        <v>931</v>
      </c>
      <c r="H309" t="s">
        <v>931</v>
      </c>
      <c r="I309" s="57" t="s">
        <v>953</v>
      </c>
      <c r="J309" s="57" t="s">
        <v>957</v>
      </c>
      <c r="K309" s="57" t="s">
        <v>267</v>
      </c>
      <c r="L309" s="58" t="s">
        <v>307</v>
      </c>
      <c r="M309" s="59">
        <v>46244</v>
      </c>
      <c r="N309" s="60">
        <v>46275</v>
      </c>
    </row>
    <row r="310" spans="2:14" hidden="1" x14ac:dyDescent="0.3">
      <c r="B310" s="56" t="s">
        <v>263</v>
      </c>
      <c r="C310" s="57" t="s">
        <v>883</v>
      </c>
      <c r="D310" s="57" t="s">
        <v>283</v>
      </c>
      <c r="E310" s="57" t="s">
        <v>923</v>
      </c>
      <c r="F310" s="57" t="s">
        <v>605</v>
      </c>
      <c r="G310" t="s">
        <v>933</v>
      </c>
      <c r="H310" t="s">
        <v>933</v>
      </c>
      <c r="I310" s="57" t="s">
        <v>953</v>
      </c>
      <c r="J310" s="57" t="s">
        <v>958</v>
      </c>
      <c r="K310" s="57" t="s">
        <v>267</v>
      </c>
      <c r="L310" s="58" t="s">
        <v>307</v>
      </c>
      <c r="M310" s="59">
        <v>46244</v>
      </c>
      <c r="N310" s="60">
        <v>46275</v>
      </c>
    </row>
    <row r="311" spans="2:14" hidden="1" x14ac:dyDescent="0.3">
      <c r="B311" s="56" t="s">
        <v>263</v>
      </c>
      <c r="C311" s="57" t="s">
        <v>883</v>
      </c>
      <c r="D311" s="57" t="s">
        <v>283</v>
      </c>
      <c r="E311" s="57" t="s">
        <v>923</v>
      </c>
      <c r="F311" s="57" t="s">
        <v>616</v>
      </c>
      <c r="G311" t="s">
        <v>924</v>
      </c>
      <c r="H311" t="s">
        <v>924</v>
      </c>
      <c r="I311" s="57" t="s">
        <v>959</v>
      </c>
      <c r="J311" s="57" t="s">
        <v>960</v>
      </c>
      <c r="K311" s="57" t="s">
        <v>267</v>
      </c>
      <c r="L311" s="58" t="s">
        <v>307</v>
      </c>
      <c r="M311" s="59">
        <v>46277</v>
      </c>
      <c r="N311" s="60">
        <v>46309</v>
      </c>
    </row>
    <row r="312" spans="2:14" hidden="1" x14ac:dyDescent="0.3">
      <c r="B312" s="56" t="s">
        <v>263</v>
      </c>
      <c r="C312" s="57" t="s">
        <v>883</v>
      </c>
      <c r="D312" s="57" t="s">
        <v>283</v>
      </c>
      <c r="E312" s="57" t="s">
        <v>923</v>
      </c>
      <c r="F312" s="57" t="s">
        <v>616</v>
      </c>
      <c r="G312" t="s">
        <v>927</v>
      </c>
      <c r="H312" t="s">
        <v>927</v>
      </c>
      <c r="I312" s="57" t="s">
        <v>959</v>
      </c>
      <c r="J312" s="57" t="s">
        <v>961</v>
      </c>
      <c r="K312" s="57" t="s">
        <v>267</v>
      </c>
      <c r="L312" s="58" t="s">
        <v>307</v>
      </c>
      <c r="M312" s="59">
        <v>46277</v>
      </c>
      <c r="N312" s="60">
        <v>46309</v>
      </c>
    </row>
    <row r="313" spans="2:14" hidden="1" x14ac:dyDescent="0.3">
      <c r="B313" s="56" t="s">
        <v>263</v>
      </c>
      <c r="C313" s="57" t="s">
        <v>883</v>
      </c>
      <c r="D313" s="57" t="s">
        <v>283</v>
      </c>
      <c r="E313" s="57" t="s">
        <v>923</v>
      </c>
      <c r="F313" s="57" t="s">
        <v>616</v>
      </c>
      <c r="G313" t="s">
        <v>929</v>
      </c>
      <c r="H313" t="s">
        <v>929</v>
      </c>
      <c r="I313" s="57" t="s">
        <v>959</v>
      </c>
      <c r="J313" s="57" t="s">
        <v>962</v>
      </c>
      <c r="K313" s="57" t="s">
        <v>267</v>
      </c>
      <c r="L313" s="58" t="s">
        <v>307</v>
      </c>
      <c r="M313" s="59">
        <v>46277</v>
      </c>
      <c r="N313" s="60">
        <v>46309</v>
      </c>
    </row>
    <row r="314" spans="2:14" hidden="1" x14ac:dyDescent="0.3">
      <c r="B314" s="56" t="s">
        <v>263</v>
      </c>
      <c r="C314" s="57" t="s">
        <v>883</v>
      </c>
      <c r="D314" s="57" t="s">
        <v>283</v>
      </c>
      <c r="E314" s="57" t="s">
        <v>923</v>
      </c>
      <c r="F314" s="57" t="s">
        <v>616</v>
      </c>
      <c r="G314" t="s">
        <v>931</v>
      </c>
      <c r="H314" t="s">
        <v>931</v>
      </c>
      <c r="I314" s="57" t="s">
        <v>959</v>
      </c>
      <c r="J314" s="57" t="s">
        <v>963</v>
      </c>
      <c r="K314" s="57" t="s">
        <v>267</v>
      </c>
      <c r="L314" s="58" t="s">
        <v>307</v>
      </c>
      <c r="M314" s="59">
        <v>46277</v>
      </c>
      <c r="N314" s="60">
        <v>46309</v>
      </c>
    </row>
    <row r="315" spans="2:14" hidden="1" x14ac:dyDescent="0.3">
      <c r="B315" s="56" t="s">
        <v>263</v>
      </c>
      <c r="C315" s="57" t="s">
        <v>883</v>
      </c>
      <c r="D315" s="57" t="s">
        <v>283</v>
      </c>
      <c r="E315" s="57" t="s">
        <v>923</v>
      </c>
      <c r="F315" s="57" t="s">
        <v>616</v>
      </c>
      <c r="G315" t="s">
        <v>933</v>
      </c>
      <c r="H315" t="s">
        <v>933</v>
      </c>
      <c r="I315" s="57" t="s">
        <v>959</v>
      </c>
      <c r="J315" s="57" t="s">
        <v>964</v>
      </c>
      <c r="K315" s="57" t="s">
        <v>267</v>
      </c>
      <c r="L315" s="58" t="s">
        <v>307</v>
      </c>
      <c r="M315" s="59">
        <v>46277</v>
      </c>
      <c r="N315" s="60">
        <v>46309</v>
      </c>
    </row>
    <row r="316" spans="2:14" hidden="1" x14ac:dyDescent="0.3">
      <c r="B316" s="56" t="s">
        <v>263</v>
      </c>
      <c r="C316" s="57" t="s">
        <v>883</v>
      </c>
      <c r="D316" s="57" t="s">
        <v>283</v>
      </c>
      <c r="E316" s="57" t="s">
        <v>923</v>
      </c>
      <c r="F316" s="57" t="s">
        <v>627</v>
      </c>
      <c r="G316" t="s">
        <v>924</v>
      </c>
      <c r="H316" t="s">
        <v>924</v>
      </c>
      <c r="I316" s="57" t="s">
        <v>965</v>
      </c>
      <c r="J316" s="57" t="s">
        <v>966</v>
      </c>
      <c r="K316" s="57" t="s">
        <v>267</v>
      </c>
      <c r="L316" s="58" t="s">
        <v>307</v>
      </c>
      <c r="M316" s="59">
        <v>46310</v>
      </c>
      <c r="N316" s="60">
        <v>46342</v>
      </c>
    </row>
    <row r="317" spans="2:14" hidden="1" x14ac:dyDescent="0.3">
      <c r="B317" s="56" t="s">
        <v>263</v>
      </c>
      <c r="C317" s="57" t="s">
        <v>883</v>
      </c>
      <c r="D317" s="57" t="s">
        <v>283</v>
      </c>
      <c r="E317" s="57" t="s">
        <v>923</v>
      </c>
      <c r="F317" s="57" t="s">
        <v>627</v>
      </c>
      <c r="G317" t="s">
        <v>927</v>
      </c>
      <c r="H317" t="s">
        <v>927</v>
      </c>
      <c r="I317" s="57" t="s">
        <v>965</v>
      </c>
      <c r="J317" s="57" t="s">
        <v>967</v>
      </c>
      <c r="K317" s="57" t="s">
        <v>267</v>
      </c>
      <c r="L317" s="58" t="s">
        <v>307</v>
      </c>
      <c r="M317" s="59">
        <v>46310</v>
      </c>
      <c r="N317" s="60">
        <v>46342</v>
      </c>
    </row>
    <row r="318" spans="2:14" hidden="1" x14ac:dyDescent="0.3">
      <c r="B318" s="56" t="s">
        <v>263</v>
      </c>
      <c r="C318" s="57" t="s">
        <v>883</v>
      </c>
      <c r="D318" s="57" t="s">
        <v>283</v>
      </c>
      <c r="E318" s="57" t="s">
        <v>923</v>
      </c>
      <c r="F318" s="57" t="s">
        <v>627</v>
      </c>
      <c r="G318" t="s">
        <v>929</v>
      </c>
      <c r="H318" t="s">
        <v>929</v>
      </c>
      <c r="I318" s="57" t="s">
        <v>965</v>
      </c>
      <c r="J318" s="57" t="s">
        <v>968</v>
      </c>
      <c r="K318" s="57" t="s">
        <v>267</v>
      </c>
      <c r="L318" s="58" t="s">
        <v>307</v>
      </c>
      <c r="M318" s="59">
        <v>46310</v>
      </c>
      <c r="N318" s="60">
        <v>46342</v>
      </c>
    </row>
    <row r="319" spans="2:14" hidden="1" x14ac:dyDescent="0.3">
      <c r="B319" s="56" t="s">
        <v>263</v>
      </c>
      <c r="C319" s="57" t="s">
        <v>883</v>
      </c>
      <c r="D319" s="57" t="s">
        <v>283</v>
      </c>
      <c r="E319" s="57" t="s">
        <v>923</v>
      </c>
      <c r="F319" s="57" t="s">
        <v>627</v>
      </c>
      <c r="G319" t="s">
        <v>931</v>
      </c>
      <c r="H319" t="s">
        <v>931</v>
      </c>
      <c r="I319" s="57" t="s">
        <v>965</v>
      </c>
      <c r="J319" s="57" t="s">
        <v>969</v>
      </c>
      <c r="K319" s="57" t="s">
        <v>267</v>
      </c>
      <c r="L319" s="58" t="s">
        <v>307</v>
      </c>
      <c r="M319" s="59">
        <v>46310</v>
      </c>
      <c r="N319" s="60">
        <v>46342</v>
      </c>
    </row>
    <row r="320" spans="2:14" hidden="1" x14ac:dyDescent="0.3">
      <c r="B320" s="56" t="s">
        <v>263</v>
      </c>
      <c r="C320" s="57" t="s">
        <v>883</v>
      </c>
      <c r="D320" s="57" t="s">
        <v>283</v>
      </c>
      <c r="E320" s="57" t="s">
        <v>923</v>
      </c>
      <c r="F320" s="57" t="s">
        <v>627</v>
      </c>
      <c r="G320" t="s">
        <v>933</v>
      </c>
      <c r="H320" t="s">
        <v>933</v>
      </c>
      <c r="I320" s="57" t="s">
        <v>965</v>
      </c>
      <c r="J320" s="57" t="s">
        <v>970</v>
      </c>
      <c r="K320" s="57" t="s">
        <v>267</v>
      </c>
      <c r="L320" s="58" t="s">
        <v>307</v>
      </c>
      <c r="M320" s="59">
        <v>46310</v>
      </c>
      <c r="N320" s="60">
        <v>46342</v>
      </c>
    </row>
    <row r="321" spans="2:14" hidden="1" x14ac:dyDescent="0.3">
      <c r="B321" s="56" t="s">
        <v>263</v>
      </c>
      <c r="C321" s="57" t="s">
        <v>883</v>
      </c>
      <c r="D321" s="57" t="s">
        <v>283</v>
      </c>
      <c r="E321" s="57" t="s">
        <v>923</v>
      </c>
      <c r="F321" s="57" t="s">
        <v>638</v>
      </c>
      <c r="G321" t="s">
        <v>924</v>
      </c>
      <c r="H321" t="s">
        <v>924</v>
      </c>
      <c r="I321" s="57" t="s">
        <v>971</v>
      </c>
      <c r="J321" s="57" t="s">
        <v>972</v>
      </c>
      <c r="K321" s="57" t="s">
        <v>267</v>
      </c>
      <c r="L321" s="58" t="s">
        <v>307</v>
      </c>
      <c r="M321" s="59">
        <v>46343</v>
      </c>
      <c r="N321" s="60">
        <v>46375</v>
      </c>
    </row>
    <row r="322" spans="2:14" hidden="1" x14ac:dyDescent="0.3">
      <c r="B322" s="56" t="s">
        <v>263</v>
      </c>
      <c r="C322" s="57" t="s">
        <v>883</v>
      </c>
      <c r="D322" s="57" t="s">
        <v>283</v>
      </c>
      <c r="E322" s="57" t="s">
        <v>923</v>
      </c>
      <c r="F322" s="57" t="s">
        <v>638</v>
      </c>
      <c r="G322" t="s">
        <v>927</v>
      </c>
      <c r="H322" t="s">
        <v>927</v>
      </c>
      <c r="I322" s="57" t="s">
        <v>971</v>
      </c>
      <c r="J322" s="57" t="s">
        <v>973</v>
      </c>
      <c r="K322" s="57" t="s">
        <v>267</v>
      </c>
      <c r="L322" s="58" t="s">
        <v>307</v>
      </c>
      <c r="M322" s="59">
        <v>46343</v>
      </c>
      <c r="N322" s="60">
        <v>46375</v>
      </c>
    </row>
    <row r="323" spans="2:14" hidden="1" x14ac:dyDescent="0.3">
      <c r="B323" s="56" t="s">
        <v>263</v>
      </c>
      <c r="C323" s="57" t="s">
        <v>883</v>
      </c>
      <c r="D323" s="57" t="s">
        <v>283</v>
      </c>
      <c r="E323" s="57" t="s">
        <v>923</v>
      </c>
      <c r="F323" s="57" t="s">
        <v>638</v>
      </c>
      <c r="G323" t="s">
        <v>929</v>
      </c>
      <c r="H323" t="s">
        <v>929</v>
      </c>
      <c r="I323" s="57" t="s">
        <v>971</v>
      </c>
      <c r="J323" s="57" t="s">
        <v>974</v>
      </c>
      <c r="K323" s="57" t="s">
        <v>267</v>
      </c>
      <c r="L323" s="58" t="s">
        <v>307</v>
      </c>
      <c r="M323" s="59">
        <v>46343</v>
      </c>
      <c r="N323" s="60">
        <v>46375</v>
      </c>
    </row>
    <row r="324" spans="2:14" hidden="1" x14ac:dyDescent="0.3">
      <c r="B324" s="56" t="s">
        <v>263</v>
      </c>
      <c r="C324" s="57" t="s">
        <v>883</v>
      </c>
      <c r="D324" s="57" t="s">
        <v>283</v>
      </c>
      <c r="E324" s="57" t="s">
        <v>923</v>
      </c>
      <c r="F324" s="57" t="s">
        <v>638</v>
      </c>
      <c r="G324" t="s">
        <v>931</v>
      </c>
      <c r="H324" t="s">
        <v>931</v>
      </c>
      <c r="I324" s="57" t="s">
        <v>971</v>
      </c>
      <c r="J324" s="57" t="s">
        <v>975</v>
      </c>
      <c r="K324" s="57" t="s">
        <v>267</v>
      </c>
      <c r="L324" s="58" t="s">
        <v>307</v>
      </c>
      <c r="M324" s="59">
        <v>46343</v>
      </c>
      <c r="N324" s="60">
        <v>46375</v>
      </c>
    </row>
    <row r="325" spans="2:14" hidden="1" x14ac:dyDescent="0.3">
      <c r="B325" s="56" t="s">
        <v>263</v>
      </c>
      <c r="C325" s="57" t="s">
        <v>883</v>
      </c>
      <c r="D325" s="57" t="s">
        <v>283</v>
      </c>
      <c r="E325" s="57" t="s">
        <v>923</v>
      </c>
      <c r="F325" s="57" t="s">
        <v>638</v>
      </c>
      <c r="G325" t="s">
        <v>933</v>
      </c>
      <c r="H325" t="s">
        <v>933</v>
      </c>
      <c r="I325" s="57" t="s">
        <v>971</v>
      </c>
      <c r="J325" s="57" t="s">
        <v>976</v>
      </c>
      <c r="K325" s="57" t="s">
        <v>267</v>
      </c>
      <c r="L325" s="58" t="s">
        <v>307</v>
      </c>
      <c r="M325" s="59">
        <v>46343</v>
      </c>
      <c r="N325" s="60">
        <v>46375</v>
      </c>
    </row>
    <row r="326" spans="2:14" hidden="1" x14ac:dyDescent="0.3">
      <c r="B326" s="56" t="s">
        <v>263</v>
      </c>
      <c r="C326" s="57" t="s">
        <v>883</v>
      </c>
      <c r="D326" s="57" t="s">
        <v>283</v>
      </c>
      <c r="E326" s="57" t="s">
        <v>923</v>
      </c>
      <c r="F326" s="57" t="s">
        <v>649</v>
      </c>
      <c r="G326" t="s">
        <v>924</v>
      </c>
      <c r="H326" t="s">
        <v>924</v>
      </c>
      <c r="I326" s="57" t="s">
        <v>977</v>
      </c>
      <c r="J326" s="57" t="s">
        <v>978</v>
      </c>
      <c r="K326" s="57" t="s">
        <v>267</v>
      </c>
      <c r="L326" s="58" t="s">
        <v>307</v>
      </c>
      <c r="M326" s="59">
        <v>46376</v>
      </c>
      <c r="N326" s="60">
        <v>46407</v>
      </c>
    </row>
    <row r="327" spans="2:14" hidden="1" x14ac:dyDescent="0.3">
      <c r="B327" s="56" t="s">
        <v>263</v>
      </c>
      <c r="C327" s="57" t="s">
        <v>883</v>
      </c>
      <c r="D327" s="57" t="s">
        <v>283</v>
      </c>
      <c r="E327" s="57" t="s">
        <v>923</v>
      </c>
      <c r="F327" s="57" t="s">
        <v>649</v>
      </c>
      <c r="G327" t="s">
        <v>927</v>
      </c>
      <c r="H327" t="s">
        <v>927</v>
      </c>
      <c r="I327" s="57" t="s">
        <v>977</v>
      </c>
      <c r="J327" s="57" t="s">
        <v>979</v>
      </c>
      <c r="K327" s="57" t="s">
        <v>267</v>
      </c>
      <c r="L327" s="58" t="s">
        <v>307</v>
      </c>
      <c r="M327" s="59">
        <v>46376</v>
      </c>
      <c r="N327" s="60">
        <v>46407</v>
      </c>
    </row>
    <row r="328" spans="2:14" hidden="1" x14ac:dyDescent="0.3">
      <c r="B328" s="56" t="s">
        <v>263</v>
      </c>
      <c r="C328" s="57" t="s">
        <v>883</v>
      </c>
      <c r="D328" s="57" t="s">
        <v>283</v>
      </c>
      <c r="E328" s="57" t="s">
        <v>923</v>
      </c>
      <c r="F328" s="57" t="s">
        <v>649</v>
      </c>
      <c r="G328" t="s">
        <v>929</v>
      </c>
      <c r="H328" t="s">
        <v>929</v>
      </c>
      <c r="I328" s="57" t="s">
        <v>977</v>
      </c>
      <c r="J328" s="57" t="s">
        <v>980</v>
      </c>
      <c r="K328" s="57" t="s">
        <v>267</v>
      </c>
      <c r="L328" s="58" t="s">
        <v>307</v>
      </c>
      <c r="M328" s="59">
        <v>46376</v>
      </c>
      <c r="N328" s="60">
        <v>46407</v>
      </c>
    </row>
    <row r="329" spans="2:14" hidden="1" x14ac:dyDescent="0.3">
      <c r="B329" s="56" t="s">
        <v>263</v>
      </c>
      <c r="C329" s="57" t="s">
        <v>883</v>
      </c>
      <c r="D329" s="57" t="s">
        <v>283</v>
      </c>
      <c r="E329" s="57" t="s">
        <v>923</v>
      </c>
      <c r="F329" s="57" t="s">
        <v>649</v>
      </c>
      <c r="G329" t="s">
        <v>931</v>
      </c>
      <c r="H329" t="s">
        <v>931</v>
      </c>
      <c r="I329" s="57" t="s">
        <v>977</v>
      </c>
      <c r="J329" s="57" t="s">
        <v>981</v>
      </c>
      <c r="K329" s="57" t="s">
        <v>267</v>
      </c>
      <c r="L329" s="58" t="s">
        <v>307</v>
      </c>
      <c r="M329" s="59">
        <v>46376</v>
      </c>
      <c r="N329" s="60">
        <v>46407</v>
      </c>
    </row>
    <row r="330" spans="2:14" hidden="1" x14ac:dyDescent="0.3">
      <c r="B330" s="56" t="s">
        <v>263</v>
      </c>
      <c r="C330" s="57" t="s">
        <v>883</v>
      </c>
      <c r="D330" s="57" t="s">
        <v>283</v>
      </c>
      <c r="E330" s="57" t="s">
        <v>923</v>
      </c>
      <c r="F330" s="57" t="s">
        <v>649</v>
      </c>
      <c r="G330" t="s">
        <v>933</v>
      </c>
      <c r="H330" t="s">
        <v>933</v>
      </c>
      <c r="I330" s="57" t="s">
        <v>977</v>
      </c>
      <c r="J330" s="57" t="s">
        <v>982</v>
      </c>
      <c r="K330" s="57" t="s">
        <v>267</v>
      </c>
      <c r="L330" s="58" t="s">
        <v>307</v>
      </c>
      <c r="M330" s="59">
        <v>46376</v>
      </c>
      <c r="N330" s="60">
        <v>46407</v>
      </c>
    </row>
    <row r="331" spans="2:14" hidden="1" x14ac:dyDescent="0.3">
      <c r="B331" s="56" t="s">
        <v>263</v>
      </c>
      <c r="C331" s="57" t="s">
        <v>883</v>
      </c>
      <c r="D331" s="57" t="s">
        <v>283</v>
      </c>
      <c r="E331" s="57" t="s">
        <v>923</v>
      </c>
      <c r="F331" s="57" t="s">
        <v>660</v>
      </c>
      <c r="G331" t="s">
        <v>924</v>
      </c>
      <c r="H331" t="s">
        <v>924</v>
      </c>
      <c r="I331" s="57" t="s">
        <v>983</v>
      </c>
      <c r="J331" s="57" t="s">
        <v>984</v>
      </c>
      <c r="K331" s="57" t="s">
        <v>267</v>
      </c>
      <c r="L331" s="58" t="s">
        <v>307</v>
      </c>
      <c r="M331" s="59">
        <v>46408</v>
      </c>
      <c r="N331" s="60">
        <v>46441</v>
      </c>
    </row>
    <row r="332" spans="2:14" hidden="1" x14ac:dyDescent="0.3">
      <c r="B332" s="56" t="s">
        <v>263</v>
      </c>
      <c r="C332" s="57" t="s">
        <v>883</v>
      </c>
      <c r="D332" s="57" t="s">
        <v>283</v>
      </c>
      <c r="E332" s="57" t="s">
        <v>923</v>
      </c>
      <c r="F332" s="57" t="s">
        <v>660</v>
      </c>
      <c r="G332" t="s">
        <v>927</v>
      </c>
      <c r="H332" t="s">
        <v>927</v>
      </c>
      <c r="I332" s="57" t="s">
        <v>983</v>
      </c>
      <c r="J332" s="57" t="s">
        <v>985</v>
      </c>
      <c r="K332" s="57" t="s">
        <v>267</v>
      </c>
      <c r="L332" s="58" t="s">
        <v>307</v>
      </c>
      <c r="M332" s="59">
        <v>46408</v>
      </c>
      <c r="N332" s="60">
        <v>46441</v>
      </c>
    </row>
    <row r="333" spans="2:14" hidden="1" x14ac:dyDescent="0.3">
      <c r="B333" s="56" t="s">
        <v>263</v>
      </c>
      <c r="C333" s="57" t="s">
        <v>883</v>
      </c>
      <c r="D333" s="57" t="s">
        <v>283</v>
      </c>
      <c r="E333" s="57" t="s">
        <v>923</v>
      </c>
      <c r="F333" s="57" t="s">
        <v>660</v>
      </c>
      <c r="G333" t="s">
        <v>929</v>
      </c>
      <c r="H333" t="s">
        <v>929</v>
      </c>
      <c r="I333" s="57" t="s">
        <v>983</v>
      </c>
      <c r="J333" s="57" t="s">
        <v>986</v>
      </c>
      <c r="K333" s="57" t="s">
        <v>267</v>
      </c>
      <c r="L333" s="58" t="s">
        <v>307</v>
      </c>
      <c r="M333" s="59">
        <v>46408</v>
      </c>
      <c r="N333" s="60">
        <v>46441</v>
      </c>
    </row>
    <row r="334" spans="2:14" hidden="1" x14ac:dyDescent="0.3">
      <c r="B334" s="56" t="s">
        <v>263</v>
      </c>
      <c r="C334" s="57" t="s">
        <v>883</v>
      </c>
      <c r="D334" s="57" t="s">
        <v>283</v>
      </c>
      <c r="E334" s="57" t="s">
        <v>923</v>
      </c>
      <c r="F334" s="57" t="s">
        <v>660</v>
      </c>
      <c r="G334" t="s">
        <v>931</v>
      </c>
      <c r="H334" t="s">
        <v>931</v>
      </c>
      <c r="I334" s="57" t="s">
        <v>983</v>
      </c>
      <c r="J334" s="57" t="s">
        <v>987</v>
      </c>
      <c r="K334" s="57" t="s">
        <v>267</v>
      </c>
      <c r="L334" s="58" t="s">
        <v>307</v>
      </c>
      <c r="M334" s="59">
        <v>46408</v>
      </c>
      <c r="N334" s="60">
        <v>46441</v>
      </c>
    </row>
    <row r="335" spans="2:14" hidden="1" x14ac:dyDescent="0.3">
      <c r="B335" s="56" t="s">
        <v>263</v>
      </c>
      <c r="C335" s="57" t="s">
        <v>883</v>
      </c>
      <c r="D335" s="57" t="s">
        <v>283</v>
      </c>
      <c r="E335" s="57" t="s">
        <v>923</v>
      </c>
      <c r="F335" s="57" t="s">
        <v>660</v>
      </c>
      <c r="G335" t="s">
        <v>933</v>
      </c>
      <c r="H335" t="s">
        <v>933</v>
      </c>
      <c r="I335" s="57" t="s">
        <v>983</v>
      </c>
      <c r="J335" s="57" t="s">
        <v>988</v>
      </c>
      <c r="K335" s="57" t="s">
        <v>267</v>
      </c>
      <c r="L335" s="58" t="s">
        <v>307</v>
      </c>
      <c r="M335" s="59">
        <v>46408</v>
      </c>
      <c r="N335" s="60">
        <v>46441</v>
      </c>
    </row>
    <row r="336" spans="2:14" hidden="1" x14ac:dyDescent="0.3">
      <c r="B336" s="56" t="s">
        <v>263</v>
      </c>
      <c r="C336" s="57" t="s">
        <v>883</v>
      </c>
      <c r="D336" s="57" t="s">
        <v>283</v>
      </c>
      <c r="E336" s="57" t="s">
        <v>923</v>
      </c>
      <c r="F336" s="57" t="s">
        <v>671</v>
      </c>
      <c r="G336" t="s">
        <v>924</v>
      </c>
      <c r="H336" t="s">
        <v>924</v>
      </c>
      <c r="I336" s="57" t="s">
        <v>989</v>
      </c>
      <c r="J336" s="57" t="s">
        <v>990</v>
      </c>
      <c r="K336" s="57" t="s">
        <v>267</v>
      </c>
      <c r="L336" s="58" t="s">
        <v>307</v>
      </c>
      <c r="M336" s="59">
        <v>46442</v>
      </c>
      <c r="N336" s="60">
        <v>46476</v>
      </c>
    </row>
    <row r="337" spans="2:14" hidden="1" x14ac:dyDescent="0.3">
      <c r="B337" s="56" t="s">
        <v>263</v>
      </c>
      <c r="C337" s="57" t="s">
        <v>883</v>
      </c>
      <c r="D337" s="57" t="s">
        <v>283</v>
      </c>
      <c r="E337" s="57" t="s">
        <v>923</v>
      </c>
      <c r="F337" s="57" t="s">
        <v>671</v>
      </c>
      <c r="G337" t="s">
        <v>927</v>
      </c>
      <c r="H337" t="s">
        <v>927</v>
      </c>
      <c r="I337" s="57" t="s">
        <v>989</v>
      </c>
      <c r="J337" s="57" t="s">
        <v>991</v>
      </c>
      <c r="K337" s="57" t="s">
        <v>267</v>
      </c>
      <c r="L337" s="58" t="s">
        <v>307</v>
      </c>
      <c r="M337" s="59">
        <v>46442</v>
      </c>
      <c r="N337" s="60">
        <v>46476</v>
      </c>
    </row>
    <row r="338" spans="2:14" hidden="1" x14ac:dyDescent="0.3">
      <c r="B338" s="56" t="s">
        <v>263</v>
      </c>
      <c r="C338" s="57" t="s">
        <v>883</v>
      </c>
      <c r="D338" s="57" t="s">
        <v>283</v>
      </c>
      <c r="E338" s="57" t="s">
        <v>923</v>
      </c>
      <c r="F338" s="57" t="s">
        <v>671</v>
      </c>
      <c r="G338" t="s">
        <v>929</v>
      </c>
      <c r="H338" t="s">
        <v>929</v>
      </c>
      <c r="I338" s="57" t="s">
        <v>989</v>
      </c>
      <c r="J338" s="57" t="s">
        <v>992</v>
      </c>
      <c r="K338" s="57" t="s">
        <v>267</v>
      </c>
      <c r="L338" s="58" t="s">
        <v>307</v>
      </c>
      <c r="M338" s="59">
        <v>46442</v>
      </c>
      <c r="N338" s="60">
        <v>46476</v>
      </c>
    </row>
    <row r="339" spans="2:14" hidden="1" x14ac:dyDescent="0.3">
      <c r="B339" s="56" t="s">
        <v>263</v>
      </c>
      <c r="C339" s="57" t="s">
        <v>883</v>
      </c>
      <c r="D339" s="57" t="s">
        <v>283</v>
      </c>
      <c r="E339" s="57" t="s">
        <v>923</v>
      </c>
      <c r="F339" s="57" t="s">
        <v>671</v>
      </c>
      <c r="G339" t="s">
        <v>931</v>
      </c>
      <c r="H339" t="s">
        <v>931</v>
      </c>
      <c r="I339" s="57" t="s">
        <v>989</v>
      </c>
      <c r="J339" s="57" t="s">
        <v>993</v>
      </c>
      <c r="K339" s="57" t="s">
        <v>267</v>
      </c>
      <c r="L339" s="58" t="s">
        <v>307</v>
      </c>
      <c r="M339" s="59">
        <v>46442</v>
      </c>
      <c r="N339" s="60">
        <v>46476</v>
      </c>
    </row>
    <row r="340" spans="2:14" hidden="1" x14ac:dyDescent="0.3">
      <c r="B340" s="56" t="s">
        <v>263</v>
      </c>
      <c r="C340" s="57" t="s">
        <v>883</v>
      </c>
      <c r="D340" s="57" t="s">
        <v>283</v>
      </c>
      <c r="E340" s="57" t="s">
        <v>923</v>
      </c>
      <c r="F340" s="57" t="s">
        <v>671</v>
      </c>
      <c r="G340" t="s">
        <v>933</v>
      </c>
      <c r="H340" t="s">
        <v>933</v>
      </c>
      <c r="I340" s="57" t="s">
        <v>989</v>
      </c>
      <c r="J340" s="57" t="s">
        <v>994</v>
      </c>
      <c r="K340" s="57" t="s">
        <v>267</v>
      </c>
      <c r="L340" s="58" t="s">
        <v>307</v>
      </c>
      <c r="M340" s="59">
        <v>46442</v>
      </c>
      <c r="N340" s="60">
        <v>46476</v>
      </c>
    </row>
    <row r="341" spans="2:14" hidden="1" x14ac:dyDescent="0.3">
      <c r="B341" s="56" t="s">
        <v>263</v>
      </c>
      <c r="C341" s="57" t="s">
        <v>883</v>
      </c>
      <c r="D341" s="57" t="s">
        <v>283</v>
      </c>
      <c r="E341" s="57" t="s">
        <v>923</v>
      </c>
      <c r="F341" s="57" t="s">
        <v>682</v>
      </c>
      <c r="G341" t="s">
        <v>924</v>
      </c>
      <c r="H341" t="s">
        <v>924</v>
      </c>
      <c r="I341" s="57" t="s">
        <v>995</v>
      </c>
      <c r="J341" s="57" t="s">
        <v>996</v>
      </c>
      <c r="K341" s="57" t="s">
        <v>267</v>
      </c>
      <c r="L341" s="58" t="s">
        <v>307</v>
      </c>
      <c r="M341" s="59">
        <v>46477</v>
      </c>
      <c r="N341" s="60">
        <v>46509</v>
      </c>
    </row>
    <row r="342" spans="2:14" hidden="1" x14ac:dyDescent="0.3">
      <c r="B342" s="56" t="s">
        <v>263</v>
      </c>
      <c r="C342" s="57" t="s">
        <v>883</v>
      </c>
      <c r="D342" s="57" t="s">
        <v>283</v>
      </c>
      <c r="E342" s="57" t="s">
        <v>923</v>
      </c>
      <c r="F342" s="57" t="s">
        <v>682</v>
      </c>
      <c r="G342" t="s">
        <v>927</v>
      </c>
      <c r="H342" t="s">
        <v>927</v>
      </c>
      <c r="I342" s="57" t="s">
        <v>995</v>
      </c>
      <c r="J342" s="57" t="s">
        <v>997</v>
      </c>
      <c r="K342" s="57" t="s">
        <v>267</v>
      </c>
      <c r="L342" s="58" t="s">
        <v>307</v>
      </c>
      <c r="M342" s="59">
        <v>46477</v>
      </c>
      <c r="N342" s="60">
        <v>46509</v>
      </c>
    </row>
    <row r="343" spans="2:14" hidden="1" x14ac:dyDescent="0.3">
      <c r="B343" s="56" t="s">
        <v>263</v>
      </c>
      <c r="C343" s="57" t="s">
        <v>883</v>
      </c>
      <c r="D343" s="57" t="s">
        <v>283</v>
      </c>
      <c r="E343" s="57" t="s">
        <v>923</v>
      </c>
      <c r="F343" s="57" t="s">
        <v>682</v>
      </c>
      <c r="G343" t="s">
        <v>929</v>
      </c>
      <c r="H343" t="s">
        <v>929</v>
      </c>
      <c r="I343" s="57" t="s">
        <v>995</v>
      </c>
      <c r="J343" s="57" t="s">
        <v>998</v>
      </c>
      <c r="K343" s="57" t="s">
        <v>267</v>
      </c>
      <c r="L343" s="58" t="s">
        <v>307</v>
      </c>
      <c r="M343" s="59">
        <v>46477</v>
      </c>
      <c r="N343" s="60">
        <v>46509</v>
      </c>
    </row>
    <row r="344" spans="2:14" hidden="1" x14ac:dyDescent="0.3">
      <c r="B344" s="56" t="s">
        <v>263</v>
      </c>
      <c r="C344" s="57" t="s">
        <v>883</v>
      </c>
      <c r="D344" s="57" t="s">
        <v>283</v>
      </c>
      <c r="E344" s="57" t="s">
        <v>923</v>
      </c>
      <c r="F344" s="57" t="s">
        <v>682</v>
      </c>
      <c r="G344" t="s">
        <v>931</v>
      </c>
      <c r="H344" t="s">
        <v>931</v>
      </c>
      <c r="I344" s="57" t="s">
        <v>995</v>
      </c>
      <c r="J344" s="57" t="s">
        <v>999</v>
      </c>
      <c r="K344" s="57" t="s">
        <v>267</v>
      </c>
      <c r="L344" s="58" t="s">
        <v>307</v>
      </c>
      <c r="M344" s="59">
        <v>46477</v>
      </c>
      <c r="N344" s="60">
        <v>46509</v>
      </c>
    </row>
    <row r="345" spans="2:14" hidden="1" x14ac:dyDescent="0.3">
      <c r="B345" s="56" t="s">
        <v>263</v>
      </c>
      <c r="C345" s="57" t="s">
        <v>883</v>
      </c>
      <c r="D345" s="57" t="s">
        <v>283</v>
      </c>
      <c r="E345" s="57" t="s">
        <v>923</v>
      </c>
      <c r="F345" s="57" t="s">
        <v>682</v>
      </c>
      <c r="G345" t="s">
        <v>933</v>
      </c>
      <c r="H345" t="s">
        <v>933</v>
      </c>
      <c r="I345" s="57" t="s">
        <v>995</v>
      </c>
      <c r="J345" s="57" t="s">
        <v>1000</v>
      </c>
      <c r="K345" s="57" t="s">
        <v>267</v>
      </c>
      <c r="L345" s="58" t="s">
        <v>307</v>
      </c>
      <c r="M345" s="59">
        <v>46477</v>
      </c>
      <c r="N345" s="60">
        <v>46509</v>
      </c>
    </row>
    <row r="346" spans="2:14" hidden="1" x14ac:dyDescent="0.3">
      <c r="B346" s="56" t="s">
        <v>263</v>
      </c>
      <c r="C346" s="57" t="s">
        <v>883</v>
      </c>
      <c r="D346" s="57" t="s">
        <v>283</v>
      </c>
      <c r="E346" s="57" t="s">
        <v>1001</v>
      </c>
      <c r="F346" s="57" t="s">
        <v>1002</v>
      </c>
      <c r="G346" t="s">
        <v>1002</v>
      </c>
      <c r="H346" t="s">
        <v>1002</v>
      </c>
      <c r="I346" s="57" t="s">
        <v>1003</v>
      </c>
      <c r="J346" s="57" t="s">
        <v>1004</v>
      </c>
      <c r="K346" s="57" t="s">
        <v>267</v>
      </c>
      <c r="L346" s="58" t="s">
        <v>307</v>
      </c>
      <c r="M346" s="59">
        <v>46510</v>
      </c>
      <c r="N346" s="60">
        <v>46546</v>
      </c>
    </row>
    <row r="347" spans="2:14" hidden="1" x14ac:dyDescent="0.3">
      <c r="B347" s="56" t="s">
        <v>263</v>
      </c>
      <c r="C347" s="57" t="s">
        <v>883</v>
      </c>
      <c r="D347" s="57" t="s">
        <v>283</v>
      </c>
      <c r="E347" s="57" t="s">
        <v>1001</v>
      </c>
      <c r="F347" s="57" t="s">
        <v>1005</v>
      </c>
      <c r="G347" t="s">
        <v>1005</v>
      </c>
      <c r="H347" t="s">
        <v>1005</v>
      </c>
      <c r="I347" s="57" t="s">
        <v>1006</v>
      </c>
      <c r="J347" s="57" t="s">
        <v>1007</v>
      </c>
      <c r="K347" s="57" t="s">
        <v>267</v>
      </c>
      <c r="L347" s="58" t="s">
        <v>307</v>
      </c>
      <c r="M347" s="59">
        <v>46547</v>
      </c>
      <c r="N347" s="60">
        <v>46579</v>
      </c>
    </row>
    <row r="348" spans="2:14" hidden="1" x14ac:dyDescent="0.3">
      <c r="B348" s="56" t="s">
        <v>263</v>
      </c>
      <c r="C348" s="57" t="s">
        <v>883</v>
      </c>
      <c r="D348" s="57" t="s">
        <v>283</v>
      </c>
      <c r="E348" s="57" t="s">
        <v>1001</v>
      </c>
      <c r="F348" s="57" t="s">
        <v>1008</v>
      </c>
      <c r="G348" t="s">
        <v>1008</v>
      </c>
      <c r="H348" t="s">
        <v>1008</v>
      </c>
      <c r="I348" s="57" t="s">
        <v>1009</v>
      </c>
      <c r="J348" s="57" t="s">
        <v>1010</v>
      </c>
      <c r="K348" s="57" t="s">
        <v>267</v>
      </c>
      <c r="L348" s="58" t="s">
        <v>307</v>
      </c>
      <c r="M348" s="59">
        <v>46510</v>
      </c>
      <c r="N348" s="60">
        <v>46546</v>
      </c>
    </row>
    <row r="349" spans="2:14" hidden="1" x14ac:dyDescent="0.3">
      <c r="B349" s="56" t="s">
        <v>263</v>
      </c>
      <c r="C349" s="57" t="s">
        <v>883</v>
      </c>
      <c r="D349" s="57" t="s">
        <v>283</v>
      </c>
      <c r="E349" s="57" t="s">
        <v>1001</v>
      </c>
      <c r="F349" s="57" t="s">
        <v>1011</v>
      </c>
      <c r="G349" t="s">
        <v>1011</v>
      </c>
      <c r="H349" t="s">
        <v>1011</v>
      </c>
      <c r="I349" s="57" t="s">
        <v>1012</v>
      </c>
      <c r="J349" s="57" t="s">
        <v>1013</v>
      </c>
      <c r="K349" s="57" t="s">
        <v>267</v>
      </c>
      <c r="L349" s="58" t="s">
        <v>307</v>
      </c>
      <c r="M349" s="59">
        <v>46526</v>
      </c>
      <c r="N349" s="60">
        <v>46558</v>
      </c>
    </row>
    <row r="350" spans="2:14" hidden="1" x14ac:dyDescent="0.3">
      <c r="B350" s="56" t="s">
        <v>263</v>
      </c>
      <c r="C350" s="57" t="s">
        <v>883</v>
      </c>
      <c r="D350" s="57" t="s">
        <v>283</v>
      </c>
      <c r="E350" s="57" t="s">
        <v>1014</v>
      </c>
      <c r="F350" s="57" t="s">
        <v>1015</v>
      </c>
      <c r="G350" t="s">
        <v>1015</v>
      </c>
      <c r="H350" t="s">
        <v>1015</v>
      </c>
      <c r="I350" s="57" t="s">
        <v>1016</v>
      </c>
      <c r="J350" s="57" t="s">
        <v>1017</v>
      </c>
      <c r="K350" s="57" t="s">
        <v>267</v>
      </c>
      <c r="L350" s="58" t="s">
        <v>307</v>
      </c>
      <c r="M350" s="59">
        <v>46510</v>
      </c>
      <c r="N350" s="60">
        <v>46546</v>
      </c>
    </row>
    <row r="351" spans="2:14" hidden="1" x14ac:dyDescent="0.3">
      <c r="B351" s="56" t="s">
        <v>263</v>
      </c>
      <c r="C351" s="57" t="s">
        <v>883</v>
      </c>
      <c r="D351" s="57" t="s">
        <v>283</v>
      </c>
      <c r="E351" s="57" t="s">
        <v>1014</v>
      </c>
      <c r="F351" s="57" t="s">
        <v>1018</v>
      </c>
      <c r="G351" t="s">
        <v>1018</v>
      </c>
      <c r="H351" t="s">
        <v>1018</v>
      </c>
      <c r="I351" s="57" t="s">
        <v>1019</v>
      </c>
      <c r="J351" s="57" t="s">
        <v>1020</v>
      </c>
      <c r="K351" s="57" t="s">
        <v>267</v>
      </c>
      <c r="L351" s="58" t="s">
        <v>307</v>
      </c>
      <c r="M351" s="59">
        <v>46526</v>
      </c>
      <c r="N351" s="60">
        <v>46558</v>
      </c>
    </row>
    <row r="352" spans="2:14" hidden="1" x14ac:dyDescent="0.3">
      <c r="B352" s="56" t="s">
        <v>263</v>
      </c>
      <c r="C352" s="57" t="s">
        <v>883</v>
      </c>
      <c r="D352" s="57" t="s">
        <v>283</v>
      </c>
      <c r="E352" s="57" t="s">
        <v>1014</v>
      </c>
      <c r="F352" s="57" t="s">
        <v>1021</v>
      </c>
      <c r="G352" t="s">
        <v>1021</v>
      </c>
      <c r="H352" t="s">
        <v>1021</v>
      </c>
      <c r="I352" s="57" t="s">
        <v>1022</v>
      </c>
      <c r="J352" s="57" t="s">
        <v>1023</v>
      </c>
      <c r="K352" s="57" t="s">
        <v>267</v>
      </c>
      <c r="L352" s="58" t="s">
        <v>307</v>
      </c>
      <c r="M352" s="59">
        <v>46559</v>
      </c>
      <c r="N352" s="60">
        <v>46590</v>
      </c>
    </row>
    <row r="353" spans="2:14" hidden="1" x14ac:dyDescent="0.3">
      <c r="B353" s="56" t="s">
        <v>263</v>
      </c>
      <c r="C353" s="57" t="s">
        <v>883</v>
      </c>
      <c r="D353" s="57" t="s">
        <v>283</v>
      </c>
      <c r="E353" s="57" t="s">
        <v>1014</v>
      </c>
      <c r="F353" s="57" t="s">
        <v>1024</v>
      </c>
      <c r="G353" t="s">
        <v>1024</v>
      </c>
      <c r="H353" t="s">
        <v>1024</v>
      </c>
      <c r="I353" s="57" t="s">
        <v>1025</v>
      </c>
      <c r="J353" s="57" t="s">
        <v>1026</v>
      </c>
      <c r="K353" s="57" t="s">
        <v>267</v>
      </c>
      <c r="L353" s="58" t="s">
        <v>307</v>
      </c>
      <c r="M353" s="59">
        <v>46547</v>
      </c>
      <c r="N353" s="60">
        <v>46579</v>
      </c>
    </row>
    <row r="354" spans="2:14" hidden="1" x14ac:dyDescent="0.3">
      <c r="B354" s="56" t="s">
        <v>263</v>
      </c>
      <c r="C354" s="57" t="s">
        <v>883</v>
      </c>
      <c r="D354" s="57" t="s">
        <v>283</v>
      </c>
      <c r="E354" s="57" t="s">
        <v>1014</v>
      </c>
      <c r="F354" s="57" t="s">
        <v>1027</v>
      </c>
      <c r="G354" t="s">
        <v>1027</v>
      </c>
      <c r="H354" t="s">
        <v>1027</v>
      </c>
      <c r="I354" s="57" t="s">
        <v>1028</v>
      </c>
      <c r="J354" s="57" t="s">
        <v>1029</v>
      </c>
      <c r="K354" s="57" t="s">
        <v>267</v>
      </c>
      <c r="L354" s="58" t="s">
        <v>307</v>
      </c>
      <c r="M354" s="59">
        <v>46559</v>
      </c>
      <c r="N354" s="60">
        <v>46590</v>
      </c>
    </row>
    <row r="355" spans="2:14" hidden="1" x14ac:dyDescent="0.3">
      <c r="B355" s="56" t="s">
        <v>263</v>
      </c>
      <c r="C355" s="57" t="s">
        <v>883</v>
      </c>
      <c r="D355" s="57" t="s">
        <v>283</v>
      </c>
      <c r="E355" s="57" t="s">
        <v>1014</v>
      </c>
      <c r="F355" s="57" t="s">
        <v>1030</v>
      </c>
      <c r="G355" t="s">
        <v>1030</v>
      </c>
      <c r="H355" t="s">
        <v>1030</v>
      </c>
      <c r="I355" s="57" t="s">
        <v>1031</v>
      </c>
      <c r="J355" s="57" t="s">
        <v>1032</v>
      </c>
      <c r="K355" s="57" t="s">
        <v>267</v>
      </c>
      <c r="L355" s="58" t="s">
        <v>307</v>
      </c>
      <c r="M355" s="59">
        <v>46408</v>
      </c>
      <c r="N355" s="60">
        <v>46441</v>
      </c>
    </row>
    <row r="356" spans="2:14" hidden="1" x14ac:dyDescent="0.3">
      <c r="B356" s="56" t="s">
        <v>263</v>
      </c>
      <c r="C356" s="57" t="s">
        <v>883</v>
      </c>
      <c r="D356" s="57" t="s">
        <v>283</v>
      </c>
      <c r="E356" s="57" t="s">
        <v>1014</v>
      </c>
      <c r="F356" s="57" t="s">
        <v>1033</v>
      </c>
      <c r="G356" t="s">
        <v>1033</v>
      </c>
      <c r="H356" t="s">
        <v>1033</v>
      </c>
      <c r="I356" s="57" t="s">
        <v>1034</v>
      </c>
      <c r="J356" s="57" t="s">
        <v>1035</v>
      </c>
      <c r="K356" s="57" t="s">
        <v>267</v>
      </c>
      <c r="L356" s="58" t="s">
        <v>307</v>
      </c>
      <c r="M356" s="59">
        <v>46592</v>
      </c>
      <c r="N356" s="60">
        <v>46623</v>
      </c>
    </row>
    <row r="357" spans="2:14" hidden="1" x14ac:dyDescent="0.3">
      <c r="B357" s="56" t="s">
        <v>263</v>
      </c>
      <c r="C357" s="57" t="s">
        <v>883</v>
      </c>
      <c r="D357" s="57" t="s">
        <v>283</v>
      </c>
      <c r="E357" s="57" t="s">
        <v>1036</v>
      </c>
      <c r="F357" s="57" t="s">
        <v>1037</v>
      </c>
      <c r="G357" t="s">
        <v>924</v>
      </c>
      <c r="H357" t="s">
        <v>924</v>
      </c>
      <c r="I357" s="57" t="s">
        <v>1038</v>
      </c>
      <c r="J357" s="57" t="s">
        <v>1039</v>
      </c>
      <c r="K357" s="57" t="s">
        <v>267</v>
      </c>
      <c r="L357" s="58" t="s">
        <v>307</v>
      </c>
      <c r="M357" s="59">
        <v>46531</v>
      </c>
      <c r="N357" s="60">
        <v>46562</v>
      </c>
    </row>
    <row r="358" spans="2:14" hidden="1" x14ac:dyDescent="0.3">
      <c r="B358" s="56" t="s">
        <v>263</v>
      </c>
      <c r="C358" s="57" t="s">
        <v>883</v>
      </c>
      <c r="D358" s="57" t="s">
        <v>283</v>
      </c>
      <c r="E358" s="57" t="s">
        <v>1036</v>
      </c>
      <c r="F358" s="57" t="s">
        <v>1037</v>
      </c>
      <c r="G358" t="s">
        <v>1040</v>
      </c>
      <c r="H358" t="s">
        <v>1040</v>
      </c>
      <c r="I358" s="57" t="s">
        <v>1038</v>
      </c>
      <c r="J358" s="57" t="s">
        <v>1041</v>
      </c>
      <c r="K358" s="57" t="s">
        <v>267</v>
      </c>
      <c r="L358" s="58" t="s">
        <v>307</v>
      </c>
      <c r="M358" s="59">
        <v>46531</v>
      </c>
      <c r="N358" s="60">
        <v>46562</v>
      </c>
    </row>
    <row r="359" spans="2:14" hidden="1" x14ac:dyDescent="0.3">
      <c r="B359" s="56" t="s">
        <v>263</v>
      </c>
      <c r="C359" s="57" t="s">
        <v>883</v>
      </c>
      <c r="D359" s="57" t="s">
        <v>283</v>
      </c>
      <c r="E359" s="57" t="s">
        <v>1036</v>
      </c>
      <c r="F359" s="57" t="s">
        <v>1037</v>
      </c>
      <c r="G359" t="s">
        <v>1030</v>
      </c>
      <c r="H359" t="s">
        <v>1030</v>
      </c>
      <c r="I359" s="57" t="s">
        <v>1038</v>
      </c>
      <c r="J359" s="57" t="s">
        <v>1042</v>
      </c>
      <c r="K359" s="57" t="s">
        <v>267</v>
      </c>
      <c r="L359" s="58" t="s">
        <v>307</v>
      </c>
      <c r="M359" s="59">
        <v>46531</v>
      </c>
      <c r="N359" s="60">
        <v>46562</v>
      </c>
    </row>
    <row r="360" spans="2:14" hidden="1" x14ac:dyDescent="0.3">
      <c r="B360" s="56" t="s">
        <v>263</v>
      </c>
      <c r="C360" s="57" t="s">
        <v>883</v>
      </c>
      <c r="D360" s="57" t="s">
        <v>283</v>
      </c>
      <c r="E360" s="57" t="s">
        <v>1036</v>
      </c>
      <c r="F360" s="57" t="s">
        <v>1037</v>
      </c>
      <c r="G360" t="s">
        <v>1043</v>
      </c>
      <c r="H360" t="s">
        <v>1043</v>
      </c>
      <c r="I360" s="57" t="s">
        <v>1038</v>
      </c>
      <c r="J360" s="57" t="s">
        <v>1044</v>
      </c>
      <c r="K360" s="57" t="s">
        <v>267</v>
      </c>
      <c r="L360" s="58" t="s">
        <v>307</v>
      </c>
      <c r="M360" s="59">
        <v>46531</v>
      </c>
      <c r="N360" s="60">
        <v>46562</v>
      </c>
    </row>
    <row r="361" spans="2:14" hidden="1" x14ac:dyDescent="0.3">
      <c r="B361" s="56" t="s">
        <v>263</v>
      </c>
      <c r="C361" s="57" t="s">
        <v>883</v>
      </c>
      <c r="D361" s="57" t="s">
        <v>283</v>
      </c>
      <c r="E361" s="57" t="s">
        <v>1036</v>
      </c>
      <c r="F361" s="57" t="s">
        <v>1037</v>
      </c>
      <c r="G361" t="s">
        <v>888</v>
      </c>
      <c r="H361" t="s">
        <v>888</v>
      </c>
      <c r="I361" s="57" t="s">
        <v>1038</v>
      </c>
      <c r="J361" s="57" t="s">
        <v>1045</v>
      </c>
      <c r="K361" s="57" t="s">
        <v>267</v>
      </c>
      <c r="L361" s="58" t="s">
        <v>307</v>
      </c>
      <c r="M361" s="59">
        <v>46531</v>
      </c>
      <c r="N361" s="60">
        <v>46562</v>
      </c>
    </row>
    <row r="362" spans="2:14" hidden="1" x14ac:dyDescent="0.3">
      <c r="B362" s="56" t="s">
        <v>263</v>
      </c>
      <c r="C362" s="57" t="s">
        <v>883</v>
      </c>
      <c r="D362" s="57" t="s">
        <v>283</v>
      </c>
      <c r="E362" s="57" t="s">
        <v>1036</v>
      </c>
      <c r="F362" s="57" t="s">
        <v>1037</v>
      </c>
      <c r="G362" t="s">
        <v>1046</v>
      </c>
      <c r="H362" t="s">
        <v>1046</v>
      </c>
      <c r="I362" s="57" t="s">
        <v>1038</v>
      </c>
      <c r="J362" s="57" t="s">
        <v>1047</v>
      </c>
      <c r="K362" s="57" t="s">
        <v>267</v>
      </c>
      <c r="L362" s="58" t="s">
        <v>307</v>
      </c>
      <c r="M362" s="59">
        <v>46531</v>
      </c>
      <c r="N362" s="60">
        <v>46562</v>
      </c>
    </row>
    <row r="363" spans="2:14" hidden="1" x14ac:dyDescent="0.3">
      <c r="B363" s="56" t="s">
        <v>263</v>
      </c>
      <c r="C363" s="57" t="s">
        <v>883</v>
      </c>
      <c r="D363" s="57" t="s">
        <v>283</v>
      </c>
      <c r="E363" s="57" t="s">
        <v>1036</v>
      </c>
      <c r="F363" s="57" t="s">
        <v>1048</v>
      </c>
      <c r="G363" t="s">
        <v>1048</v>
      </c>
      <c r="H363" t="s">
        <v>1048</v>
      </c>
      <c r="I363" s="57" t="s">
        <v>1049</v>
      </c>
      <c r="J363" s="57" t="s">
        <v>1050</v>
      </c>
      <c r="K363" s="57" t="s">
        <v>267</v>
      </c>
      <c r="L363" s="58" t="s">
        <v>307</v>
      </c>
      <c r="M363" s="59">
        <v>46547</v>
      </c>
      <c r="N363" s="60">
        <v>46579</v>
      </c>
    </row>
    <row r="364" spans="2:14" hidden="1" x14ac:dyDescent="0.3">
      <c r="B364" s="56" t="s">
        <v>263</v>
      </c>
      <c r="C364" s="57" t="s">
        <v>883</v>
      </c>
      <c r="D364" s="57" t="s">
        <v>283</v>
      </c>
      <c r="E364" s="57" t="s">
        <v>1036</v>
      </c>
      <c r="F364" s="57" t="s">
        <v>1051</v>
      </c>
      <c r="G364" t="s">
        <v>1051</v>
      </c>
      <c r="H364" t="s">
        <v>1051</v>
      </c>
      <c r="I364" s="57" t="s">
        <v>1052</v>
      </c>
      <c r="J364" s="57" t="s">
        <v>1053</v>
      </c>
      <c r="K364" s="57" t="s">
        <v>267</v>
      </c>
      <c r="L364" s="58" t="s">
        <v>307</v>
      </c>
      <c r="M364" s="59">
        <v>46547</v>
      </c>
      <c r="N364" s="60">
        <v>46579</v>
      </c>
    </row>
    <row r="365" spans="2:14" hidden="1" x14ac:dyDescent="0.3">
      <c r="B365" s="56" t="s">
        <v>263</v>
      </c>
      <c r="C365" s="57" t="s">
        <v>883</v>
      </c>
      <c r="D365" s="57" t="s">
        <v>283</v>
      </c>
      <c r="E365" s="57" t="s">
        <v>1036</v>
      </c>
      <c r="F365" s="57" t="s">
        <v>880</v>
      </c>
      <c r="G365" t="s">
        <v>880</v>
      </c>
      <c r="H365" t="s">
        <v>880</v>
      </c>
      <c r="I365" s="57" t="s">
        <v>1054</v>
      </c>
      <c r="J365" s="57" t="s">
        <v>1055</v>
      </c>
      <c r="K365" s="57" t="s">
        <v>267</v>
      </c>
      <c r="L365" s="58" t="s">
        <v>307</v>
      </c>
      <c r="M365" s="59">
        <v>46564</v>
      </c>
      <c r="N365" s="60">
        <v>46595</v>
      </c>
    </row>
    <row r="366" spans="2:14" hidden="1" x14ac:dyDescent="0.3">
      <c r="B366" s="56" t="s">
        <v>263</v>
      </c>
      <c r="C366" s="57" t="s">
        <v>883</v>
      </c>
      <c r="D366" s="57" t="s">
        <v>283</v>
      </c>
      <c r="E366" s="57" t="s">
        <v>1036</v>
      </c>
      <c r="F366" s="57" t="s">
        <v>1056</v>
      </c>
      <c r="G366" t="s">
        <v>556</v>
      </c>
      <c r="H366" t="s">
        <v>1056</v>
      </c>
      <c r="I366" s="57" t="s">
        <v>1057</v>
      </c>
      <c r="J366" s="57" t="s">
        <v>1058</v>
      </c>
      <c r="K366" s="57" t="s">
        <v>267</v>
      </c>
      <c r="L366" s="58" t="s">
        <v>289</v>
      </c>
      <c r="M366" s="59">
        <v>46343</v>
      </c>
      <c r="N366" s="60">
        <v>46358</v>
      </c>
    </row>
    <row r="367" spans="2:14" hidden="1" x14ac:dyDescent="0.3">
      <c r="B367" s="56" t="s">
        <v>263</v>
      </c>
      <c r="C367" s="57" t="s">
        <v>883</v>
      </c>
      <c r="D367" s="57" t="s">
        <v>283</v>
      </c>
      <c r="E367" s="57" t="s">
        <v>1036</v>
      </c>
      <c r="F367" s="57" t="s">
        <v>1056</v>
      </c>
      <c r="G367" t="s">
        <v>556</v>
      </c>
      <c r="H367" t="s">
        <v>1059</v>
      </c>
      <c r="I367" s="57" t="s">
        <v>1057</v>
      </c>
      <c r="J367" s="57" t="s">
        <v>1060</v>
      </c>
      <c r="K367" s="57" t="s">
        <v>267</v>
      </c>
      <c r="L367" s="58" t="s">
        <v>311</v>
      </c>
      <c r="M367" s="59">
        <v>46343</v>
      </c>
      <c r="N367" s="60">
        <v>46366</v>
      </c>
    </row>
    <row r="368" spans="2:14" hidden="1" x14ac:dyDescent="0.3">
      <c r="B368" s="56" t="s">
        <v>263</v>
      </c>
      <c r="C368" s="57" t="s">
        <v>883</v>
      </c>
      <c r="D368" s="57" t="s">
        <v>283</v>
      </c>
      <c r="E368" s="57" t="s">
        <v>1036</v>
      </c>
      <c r="F368" s="57" t="s">
        <v>1056</v>
      </c>
      <c r="G368" t="s">
        <v>556</v>
      </c>
      <c r="H368" t="s">
        <v>1061</v>
      </c>
      <c r="I368" s="57" t="s">
        <v>1057</v>
      </c>
      <c r="J368" s="57" t="s">
        <v>1062</v>
      </c>
      <c r="K368" s="57" t="s">
        <v>267</v>
      </c>
      <c r="L368" s="58" t="s">
        <v>311</v>
      </c>
      <c r="M368" s="59">
        <v>46343</v>
      </c>
      <c r="N368" s="60">
        <v>46366</v>
      </c>
    </row>
    <row r="369" spans="2:14" hidden="1" x14ac:dyDescent="0.3">
      <c r="B369" s="56" t="s">
        <v>263</v>
      </c>
      <c r="C369" s="57" t="s">
        <v>883</v>
      </c>
      <c r="D369" s="57" t="s">
        <v>283</v>
      </c>
      <c r="E369" s="57" t="s">
        <v>1036</v>
      </c>
      <c r="F369" s="57" t="s">
        <v>1056</v>
      </c>
      <c r="G369" t="s">
        <v>556</v>
      </c>
      <c r="H369" t="s">
        <v>1063</v>
      </c>
      <c r="I369" s="57" t="s">
        <v>1057</v>
      </c>
      <c r="J369" s="57" t="s">
        <v>1064</v>
      </c>
      <c r="K369" s="57" t="s">
        <v>267</v>
      </c>
      <c r="L369" s="58" t="s">
        <v>311</v>
      </c>
      <c r="M369" s="59">
        <v>46359</v>
      </c>
      <c r="N369" s="60">
        <v>46383</v>
      </c>
    </row>
    <row r="370" spans="2:14" hidden="1" x14ac:dyDescent="0.3">
      <c r="B370" s="56" t="s">
        <v>263</v>
      </c>
      <c r="C370" s="57" t="s">
        <v>883</v>
      </c>
      <c r="D370" s="57" t="s">
        <v>283</v>
      </c>
      <c r="E370" s="57" t="s">
        <v>1036</v>
      </c>
      <c r="F370" s="57" t="s">
        <v>1056</v>
      </c>
      <c r="G370" t="s">
        <v>572</v>
      </c>
      <c r="H370" t="s">
        <v>1056</v>
      </c>
      <c r="I370" s="57" t="s">
        <v>1057</v>
      </c>
      <c r="J370" s="57" t="s">
        <v>1065</v>
      </c>
      <c r="K370" s="57" t="s">
        <v>267</v>
      </c>
      <c r="L370" s="58" t="s">
        <v>289</v>
      </c>
      <c r="M370" s="59">
        <v>46359</v>
      </c>
      <c r="N370" s="60">
        <v>46375</v>
      </c>
    </row>
    <row r="371" spans="2:14" hidden="1" x14ac:dyDescent="0.3">
      <c r="B371" s="56" t="s">
        <v>263</v>
      </c>
      <c r="C371" s="57" t="s">
        <v>883</v>
      </c>
      <c r="D371" s="57" t="s">
        <v>283</v>
      </c>
      <c r="E371" s="57" t="s">
        <v>1036</v>
      </c>
      <c r="F371" s="57" t="s">
        <v>1056</v>
      </c>
      <c r="G371" t="s">
        <v>572</v>
      </c>
      <c r="H371" t="s">
        <v>1066</v>
      </c>
      <c r="I371" s="57" t="s">
        <v>1057</v>
      </c>
      <c r="J371" s="57" t="s">
        <v>1067</v>
      </c>
      <c r="K371" s="57" t="s">
        <v>267</v>
      </c>
      <c r="L371" s="58" t="s">
        <v>289</v>
      </c>
      <c r="M371" s="59">
        <v>46359</v>
      </c>
      <c r="N371" s="60">
        <v>46375</v>
      </c>
    </row>
    <row r="372" spans="2:14" hidden="1" x14ac:dyDescent="0.3">
      <c r="B372" s="56" t="s">
        <v>263</v>
      </c>
      <c r="C372" s="57" t="s">
        <v>883</v>
      </c>
      <c r="D372" s="57" t="s">
        <v>283</v>
      </c>
      <c r="E372" s="57" t="s">
        <v>1036</v>
      </c>
      <c r="F372" s="57" t="s">
        <v>1056</v>
      </c>
      <c r="G372" t="s">
        <v>572</v>
      </c>
      <c r="H372" t="s">
        <v>1068</v>
      </c>
      <c r="I372" s="57" t="s">
        <v>1057</v>
      </c>
      <c r="J372" s="57" t="s">
        <v>1069</v>
      </c>
      <c r="K372" s="57" t="s">
        <v>267</v>
      </c>
      <c r="L372" s="58" t="s">
        <v>289</v>
      </c>
      <c r="M372" s="59">
        <v>46359</v>
      </c>
      <c r="N372" s="60">
        <v>46375</v>
      </c>
    </row>
    <row r="373" spans="2:14" hidden="1" x14ac:dyDescent="0.3">
      <c r="B373" s="56" t="s">
        <v>263</v>
      </c>
      <c r="C373" s="57" t="s">
        <v>883</v>
      </c>
      <c r="D373" s="57" t="s">
        <v>283</v>
      </c>
      <c r="E373" s="57" t="s">
        <v>1036</v>
      </c>
      <c r="F373" s="57" t="s">
        <v>1056</v>
      </c>
      <c r="G373" t="s">
        <v>572</v>
      </c>
      <c r="H373" t="s">
        <v>1070</v>
      </c>
      <c r="I373" s="57" t="s">
        <v>1057</v>
      </c>
      <c r="J373" s="57" t="s">
        <v>1071</v>
      </c>
      <c r="K373" s="57" t="s">
        <v>267</v>
      </c>
      <c r="L373" s="58" t="s">
        <v>289</v>
      </c>
      <c r="M373" s="59">
        <v>46359</v>
      </c>
      <c r="N373" s="60">
        <v>46375</v>
      </c>
    </row>
    <row r="374" spans="2:14" hidden="1" x14ac:dyDescent="0.3">
      <c r="B374" s="56" t="s">
        <v>263</v>
      </c>
      <c r="C374" s="57" t="s">
        <v>883</v>
      </c>
      <c r="D374" s="57" t="s">
        <v>283</v>
      </c>
      <c r="E374" s="57" t="s">
        <v>1036</v>
      </c>
      <c r="F374" s="57" t="s">
        <v>1056</v>
      </c>
      <c r="G374" t="s">
        <v>572</v>
      </c>
      <c r="H374" t="s">
        <v>1072</v>
      </c>
      <c r="I374" s="57" t="s">
        <v>1057</v>
      </c>
      <c r="J374" s="57" t="s">
        <v>1073</v>
      </c>
      <c r="K374" s="57" t="s">
        <v>267</v>
      </c>
      <c r="L374" s="58" t="s">
        <v>289</v>
      </c>
      <c r="M374" s="59">
        <v>46359</v>
      </c>
      <c r="N374" s="60">
        <v>46375</v>
      </c>
    </row>
    <row r="375" spans="2:14" hidden="1" x14ac:dyDescent="0.3">
      <c r="B375" s="56" t="s">
        <v>263</v>
      </c>
      <c r="C375" s="57" t="s">
        <v>883</v>
      </c>
      <c r="D375" s="57" t="s">
        <v>283</v>
      </c>
      <c r="E375" s="57" t="s">
        <v>1036</v>
      </c>
      <c r="F375" s="57" t="s">
        <v>1056</v>
      </c>
      <c r="G375" t="s">
        <v>572</v>
      </c>
      <c r="H375" t="s">
        <v>1063</v>
      </c>
      <c r="I375" s="57" t="s">
        <v>1057</v>
      </c>
      <c r="J375" s="57" t="s">
        <v>1074</v>
      </c>
      <c r="K375" s="57" t="s">
        <v>267</v>
      </c>
      <c r="L375" s="58" t="s">
        <v>289</v>
      </c>
      <c r="M375" s="59">
        <v>46359</v>
      </c>
      <c r="N375" s="60">
        <v>46375</v>
      </c>
    </row>
    <row r="376" spans="2:14" hidden="1" x14ac:dyDescent="0.3">
      <c r="B376" s="56" t="s">
        <v>263</v>
      </c>
      <c r="C376" s="57" t="s">
        <v>883</v>
      </c>
      <c r="D376" s="57" t="s">
        <v>283</v>
      </c>
      <c r="E376" s="57" t="s">
        <v>1036</v>
      </c>
      <c r="F376" s="57" t="s">
        <v>1056</v>
      </c>
      <c r="G376" t="s">
        <v>572</v>
      </c>
      <c r="H376" t="s">
        <v>1075</v>
      </c>
      <c r="I376" s="57" t="s">
        <v>1057</v>
      </c>
      <c r="J376" s="57" t="s">
        <v>1076</v>
      </c>
      <c r="K376" s="57" t="s">
        <v>267</v>
      </c>
      <c r="L376" s="58" t="s">
        <v>289</v>
      </c>
      <c r="M376" s="59">
        <v>46359</v>
      </c>
      <c r="N376" s="60">
        <v>46375</v>
      </c>
    </row>
    <row r="377" spans="2:14" hidden="1" x14ac:dyDescent="0.3">
      <c r="B377" s="56" t="s">
        <v>263</v>
      </c>
      <c r="C377" s="57" t="s">
        <v>883</v>
      </c>
      <c r="D377" s="57" t="s">
        <v>283</v>
      </c>
      <c r="E377" s="57" t="s">
        <v>1036</v>
      </c>
      <c r="F377" s="57" t="s">
        <v>1056</v>
      </c>
      <c r="G377" t="s">
        <v>583</v>
      </c>
      <c r="H377" t="s">
        <v>1056</v>
      </c>
      <c r="I377" s="57" t="s">
        <v>1057</v>
      </c>
      <c r="J377" s="57" t="s">
        <v>1077</v>
      </c>
      <c r="K377" s="57" t="s">
        <v>267</v>
      </c>
      <c r="L377" s="58" t="s">
        <v>289</v>
      </c>
      <c r="M377" s="59">
        <v>46376</v>
      </c>
      <c r="N377" s="60">
        <v>46391</v>
      </c>
    </row>
    <row r="378" spans="2:14" hidden="1" x14ac:dyDescent="0.3">
      <c r="B378" s="56" t="s">
        <v>263</v>
      </c>
      <c r="C378" s="57" t="s">
        <v>883</v>
      </c>
      <c r="D378" s="57" t="s">
        <v>283</v>
      </c>
      <c r="E378" s="57" t="s">
        <v>1036</v>
      </c>
      <c r="F378" s="57" t="s">
        <v>1056</v>
      </c>
      <c r="G378" t="s">
        <v>583</v>
      </c>
      <c r="H378" t="s">
        <v>1063</v>
      </c>
      <c r="I378" s="57" t="s">
        <v>1057</v>
      </c>
      <c r="J378" s="57" t="s">
        <v>1078</v>
      </c>
      <c r="K378" s="57" t="s">
        <v>267</v>
      </c>
      <c r="L378" s="58" t="s">
        <v>289</v>
      </c>
      <c r="M378" s="59">
        <v>46376</v>
      </c>
      <c r="N378" s="60">
        <v>46391</v>
      </c>
    </row>
    <row r="379" spans="2:14" hidden="1" x14ac:dyDescent="0.3">
      <c r="B379" s="56" t="s">
        <v>263</v>
      </c>
      <c r="C379" s="57" t="s">
        <v>883</v>
      </c>
      <c r="D379" s="57" t="s">
        <v>283</v>
      </c>
      <c r="E379" s="57" t="s">
        <v>1036</v>
      </c>
      <c r="F379" s="57" t="s">
        <v>1056</v>
      </c>
      <c r="G379" t="s">
        <v>583</v>
      </c>
      <c r="H379" t="s">
        <v>1079</v>
      </c>
      <c r="I379" s="57" t="s">
        <v>1057</v>
      </c>
      <c r="J379" s="57" t="s">
        <v>1080</v>
      </c>
      <c r="K379" s="57" t="s">
        <v>267</v>
      </c>
      <c r="L379" s="58" t="s">
        <v>289</v>
      </c>
      <c r="M379" s="59">
        <v>46376</v>
      </c>
      <c r="N379" s="60">
        <v>46391</v>
      </c>
    </row>
    <row r="380" spans="2:14" hidden="1" x14ac:dyDescent="0.3">
      <c r="B380" s="56" t="s">
        <v>263</v>
      </c>
      <c r="C380" s="57" t="s">
        <v>883</v>
      </c>
      <c r="D380" s="57" t="s">
        <v>283</v>
      </c>
      <c r="E380" s="57" t="s">
        <v>1036</v>
      </c>
      <c r="F380" s="57" t="s">
        <v>1056</v>
      </c>
      <c r="G380" t="s">
        <v>583</v>
      </c>
      <c r="H380" t="s">
        <v>1081</v>
      </c>
      <c r="I380" s="57" t="s">
        <v>1057</v>
      </c>
      <c r="J380" s="57" t="s">
        <v>1082</v>
      </c>
      <c r="K380" s="57" t="s">
        <v>267</v>
      </c>
      <c r="L380" s="58" t="s">
        <v>289</v>
      </c>
      <c r="M380" s="59">
        <v>46376</v>
      </c>
      <c r="N380" s="60">
        <v>46391</v>
      </c>
    </row>
    <row r="381" spans="2:14" hidden="1" x14ac:dyDescent="0.3">
      <c r="B381" s="56" t="s">
        <v>263</v>
      </c>
      <c r="C381" s="57" t="s">
        <v>883</v>
      </c>
      <c r="D381" s="57" t="s">
        <v>283</v>
      </c>
      <c r="E381" s="57" t="s">
        <v>1036</v>
      </c>
      <c r="F381" s="57" t="s">
        <v>1056</v>
      </c>
      <c r="G381" t="s">
        <v>583</v>
      </c>
      <c r="H381" t="s">
        <v>1075</v>
      </c>
      <c r="I381" s="57" t="s">
        <v>1057</v>
      </c>
      <c r="J381" s="57" t="s">
        <v>1083</v>
      </c>
      <c r="K381" s="57" t="s">
        <v>267</v>
      </c>
      <c r="L381" s="58" t="s">
        <v>289</v>
      </c>
      <c r="M381" s="59">
        <v>46376</v>
      </c>
      <c r="N381" s="60">
        <v>46391</v>
      </c>
    </row>
    <row r="382" spans="2:14" hidden="1" x14ac:dyDescent="0.3">
      <c r="B382" s="56" t="s">
        <v>263</v>
      </c>
      <c r="C382" s="57" t="s">
        <v>883</v>
      </c>
      <c r="D382" s="57" t="s">
        <v>283</v>
      </c>
      <c r="E382" s="57" t="s">
        <v>1036</v>
      </c>
      <c r="F382" s="57" t="s">
        <v>1056</v>
      </c>
      <c r="G382" t="s">
        <v>594</v>
      </c>
      <c r="H382" t="s">
        <v>1056</v>
      </c>
      <c r="I382" s="57" t="s">
        <v>1057</v>
      </c>
      <c r="J382" s="57" t="s">
        <v>1084</v>
      </c>
      <c r="K382" s="57" t="s">
        <v>267</v>
      </c>
      <c r="L382" s="58" t="s">
        <v>289</v>
      </c>
      <c r="M382" s="59">
        <v>46392</v>
      </c>
      <c r="N382" s="60">
        <v>46407</v>
      </c>
    </row>
    <row r="383" spans="2:14" hidden="1" x14ac:dyDescent="0.3">
      <c r="B383" s="56" t="s">
        <v>263</v>
      </c>
      <c r="C383" s="57" t="s">
        <v>883</v>
      </c>
      <c r="D383" s="57" t="s">
        <v>283</v>
      </c>
      <c r="E383" s="57" t="s">
        <v>1036</v>
      </c>
      <c r="F383" s="57" t="s">
        <v>1056</v>
      </c>
      <c r="G383" t="s">
        <v>605</v>
      </c>
      <c r="H383" t="s">
        <v>1056</v>
      </c>
      <c r="I383" s="57" t="s">
        <v>1057</v>
      </c>
      <c r="J383" s="57" t="s">
        <v>1085</v>
      </c>
      <c r="K383" s="57" t="s">
        <v>267</v>
      </c>
      <c r="L383" s="58" t="s">
        <v>289</v>
      </c>
      <c r="M383" s="59">
        <v>46408</v>
      </c>
      <c r="N383" s="60">
        <v>46424</v>
      </c>
    </row>
    <row r="384" spans="2:14" hidden="1" x14ac:dyDescent="0.3">
      <c r="B384" s="56" t="s">
        <v>263</v>
      </c>
      <c r="C384" s="57" t="s">
        <v>883</v>
      </c>
      <c r="D384" s="57" t="s">
        <v>283</v>
      </c>
      <c r="E384" s="57" t="s">
        <v>1036</v>
      </c>
      <c r="F384" s="57" t="s">
        <v>1056</v>
      </c>
      <c r="G384" t="s">
        <v>616</v>
      </c>
      <c r="H384" t="s">
        <v>1056</v>
      </c>
      <c r="I384" s="57" t="s">
        <v>1057</v>
      </c>
      <c r="J384" s="57" t="s">
        <v>1086</v>
      </c>
      <c r="K384" s="57" t="s">
        <v>267</v>
      </c>
      <c r="L384" s="58" t="s">
        <v>289</v>
      </c>
      <c r="M384" s="59">
        <v>46425</v>
      </c>
      <c r="N384" s="60">
        <v>46441</v>
      </c>
    </row>
    <row r="385" spans="2:14" hidden="1" x14ac:dyDescent="0.3">
      <c r="B385" s="56" t="s">
        <v>263</v>
      </c>
      <c r="C385" s="57" t="s">
        <v>883</v>
      </c>
      <c r="D385" s="57" t="s">
        <v>283</v>
      </c>
      <c r="E385" s="57" t="s">
        <v>1036</v>
      </c>
      <c r="F385" s="57" t="s">
        <v>1056</v>
      </c>
      <c r="G385" t="s">
        <v>627</v>
      </c>
      <c r="H385" t="s">
        <v>1056</v>
      </c>
      <c r="I385" s="57" t="s">
        <v>1057</v>
      </c>
      <c r="J385" s="57" t="s">
        <v>1087</v>
      </c>
      <c r="K385" s="57" t="s">
        <v>267</v>
      </c>
      <c r="L385" s="58" t="s">
        <v>289</v>
      </c>
      <c r="M385" s="59">
        <v>46442</v>
      </c>
      <c r="N385" s="60">
        <v>46460</v>
      </c>
    </row>
    <row r="386" spans="2:14" hidden="1" x14ac:dyDescent="0.3">
      <c r="B386" s="56" t="s">
        <v>263</v>
      </c>
      <c r="C386" s="57" t="s">
        <v>883</v>
      </c>
      <c r="D386" s="57" t="s">
        <v>283</v>
      </c>
      <c r="E386" s="57" t="s">
        <v>1036</v>
      </c>
      <c r="F386" s="57" t="s">
        <v>1056</v>
      </c>
      <c r="G386" t="s">
        <v>638</v>
      </c>
      <c r="H386" t="s">
        <v>1056</v>
      </c>
      <c r="I386" s="57" t="s">
        <v>1057</v>
      </c>
      <c r="J386" s="57" t="s">
        <v>1088</v>
      </c>
      <c r="K386" s="57" t="s">
        <v>267</v>
      </c>
      <c r="L386" s="58" t="s">
        <v>289</v>
      </c>
      <c r="M386" s="59">
        <v>46461</v>
      </c>
      <c r="N386" s="60">
        <v>46476</v>
      </c>
    </row>
    <row r="387" spans="2:14" hidden="1" x14ac:dyDescent="0.3">
      <c r="B387" s="56" t="s">
        <v>263</v>
      </c>
      <c r="C387" s="57" t="s">
        <v>883</v>
      </c>
      <c r="D387" s="57" t="s">
        <v>283</v>
      </c>
      <c r="E387" s="57" t="s">
        <v>1036</v>
      </c>
      <c r="F387" s="57" t="s">
        <v>1056</v>
      </c>
      <c r="G387" t="s">
        <v>649</v>
      </c>
      <c r="H387" t="s">
        <v>1056</v>
      </c>
      <c r="I387" s="57" t="s">
        <v>1057</v>
      </c>
      <c r="J387" s="57" t="s">
        <v>1089</v>
      </c>
      <c r="K387" s="57" t="s">
        <v>267</v>
      </c>
      <c r="L387" s="58" t="s">
        <v>289</v>
      </c>
      <c r="M387" s="59">
        <v>46477</v>
      </c>
      <c r="N387" s="60">
        <v>46492</v>
      </c>
    </row>
    <row r="388" spans="2:14" hidden="1" x14ac:dyDescent="0.3">
      <c r="B388" s="56" t="s">
        <v>263</v>
      </c>
      <c r="C388" s="57" t="s">
        <v>883</v>
      </c>
      <c r="D388" s="57" t="s">
        <v>283</v>
      </c>
      <c r="E388" s="57" t="s">
        <v>1036</v>
      </c>
      <c r="F388" s="57" t="s">
        <v>1056</v>
      </c>
      <c r="G388" t="s">
        <v>660</v>
      </c>
      <c r="H388" t="s">
        <v>1056</v>
      </c>
      <c r="I388" s="57" t="s">
        <v>1057</v>
      </c>
      <c r="J388" s="57" t="s">
        <v>1090</v>
      </c>
      <c r="K388" s="57" t="s">
        <v>267</v>
      </c>
      <c r="L388" s="58" t="s">
        <v>289</v>
      </c>
      <c r="M388" s="59">
        <v>46494</v>
      </c>
      <c r="N388" s="60">
        <v>46509</v>
      </c>
    </row>
    <row r="389" spans="2:14" hidden="1" x14ac:dyDescent="0.3">
      <c r="B389" s="56" t="s">
        <v>263</v>
      </c>
      <c r="C389" s="57" t="s">
        <v>883</v>
      </c>
      <c r="D389" s="57" t="s">
        <v>283</v>
      </c>
      <c r="E389" s="57" t="s">
        <v>1036</v>
      </c>
      <c r="F389" s="57" t="s">
        <v>1056</v>
      </c>
      <c r="G389" t="s">
        <v>660</v>
      </c>
      <c r="H389" t="s">
        <v>1091</v>
      </c>
      <c r="I389" s="57" t="s">
        <v>1057</v>
      </c>
      <c r="J389" s="57" t="s">
        <v>1092</v>
      </c>
      <c r="K389" s="57" t="s">
        <v>267</v>
      </c>
      <c r="L389" s="58" t="s">
        <v>289</v>
      </c>
      <c r="M389" s="59">
        <v>46510</v>
      </c>
      <c r="N389" s="60">
        <v>46530</v>
      </c>
    </row>
    <row r="390" spans="2:14" hidden="1" x14ac:dyDescent="0.3">
      <c r="B390" s="56" t="s">
        <v>263</v>
      </c>
      <c r="C390" s="57" t="s">
        <v>883</v>
      </c>
      <c r="D390" s="57" t="s">
        <v>283</v>
      </c>
      <c r="E390" s="57" t="s">
        <v>1036</v>
      </c>
      <c r="F390" s="57" t="s">
        <v>1056</v>
      </c>
      <c r="G390" t="s">
        <v>660</v>
      </c>
      <c r="H390" t="s">
        <v>1093</v>
      </c>
      <c r="I390" s="57" t="s">
        <v>1057</v>
      </c>
      <c r="J390" s="57" t="s">
        <v>1094</v>
      </c>
      <c r="K390" s="57" t="s">
        <v>267</v>
      </c>
      <c r="L390" s="58" t="s">
        <v>289</v>
      </c>
      <c r="M390" s="59">
        <v>46442</v>
      </c>
      <c r="N390" s="60">
        <v>46460</v>
      </c>
    </row>
    <row r="391" spans="2:14" hidden="1" x14ac:dyDescent="0.3">
      <c r="B391" s="56" t="s">
        <v>263</v>
      </c>
      <c r="C391" s="57" t="s">
        <v>883</v>
      </c>
      <c r="D391" s="57" t="s">
        <v>283</v>
      </c>
      <c r="E391" s="57" t="s">
        <v>1036</v>
      </c>
      <c r="F391" s="57" t="s">
        <v>1056</v>
      </c>
      <c r="G391" t="s">
        <v>660</v>
      </c>
      <c r="H391" t="s">
        <v>1095</v>
      </c>
      <c r="I391" s="57" t="s">
        <v>1057</v>
      </c>
      <c r="J391" s="57" t="s">
        <v>1096</v>
      </c>
      <c r="K391" s="57" t="s">
        <v>267</v>
      </c>
      <c r="L391" s="58" t="s">
        <v>289</v>
      </c>
      <c r="M391" s="59">
        <v>46494</v>
      </c>
      <c r="N391" s="60">
        <v>46509</v>
      </c>
    </row>
    <row r="392" spans="2:14" hidden="1" x14ac:dyDescent="0.3">
      <c r="B392" s="56" t="s">
        <v>263</v>
      </c>
      <c r="C392" s="57" t="s">
        <v>883</v>
      </c>
      <c r="D392" s="57" t="s">
        <v>283</v>
      </c>
      <c r="E392" s="57" t="s">
        <v>1036</v>
      </c>
      <c r="F392" s="57" t="s">
        <v>1056</v>
      </c>
      <c r="G392" t="s">
        <v>671</v>
      </c>
      <c r="H392" t="s">
        <v>1056</v>
      </c>
      <c r="I392" s="57" t="s">
        <v>1057</v>
      </c>
      <c r="J392" s="57" t="s">
        <v>1097</v>
      </c>
      <c r="K392" s="57" t="s">
        <v>267</v>
      </c>
      <c r="L392" s="58" t="s">
        <v>289</v>
      </c>
      <c r="M392" s="59">
        <v>46510</v>
      </c>
      <c r="N392" s="60">
        <v>46530</v>
      </c>
    </row>
    <row r="393" spans="2:14" hidden="1" x14ac:dyDescent="0.3">
      <c r="B393" s="56" t="s">
        <v>263</v>
      </c>
      <c r="C393" s="57" t="s">
        <v>883</v>
      </c>
      <c r="D393" s="57" t="s">
        <v>283</v>
      </c>
      <c r="E393" s="57" t="s">
        <v>1036</v>
      </c>
      <c r="F393" s="57" t="s">
        <v>1056</v>
      </c>
      <c r="G393" t="s">
        <v>682</v>
      </c>
      <c r="H393" t="s">
        <v>1056</v>
      </c>
      <c r="I393" s="57" t="s">
        <v>1057</v>
      </c>
      <c r="J393" s="57" t="s">
        <v>1098</v>
      </c>
      <c r="K393" s="57" t="s">
        <v>267</v>
      </c>
      <c r="L393" s="58" t="s">
        <v>289</v>
      </c>
      <c r="M393" s="59">
        <v>46531</v>
      </c>
      <c r="N393" s="60">
        <v>46546</v>
      </c>
    </row>
    <row r="394" spans="2:14" hidden="1" x14ac:dyDescent="0.3">
      <c r="B394" s="56" t="s">
        <v>263</v>
      </c>
      <c r="C394" s="57" t="s">
        <v>883</v>
      </c>
      <c r="D394" s="57" t="s">
        <v>283</v>
      </c>
      <c r="E394" s="57" t="s">
        <v>1036</v>
      </c>
      <c r="F394" s="57" t="s">
        <v>1056</v>
      </c>
      <c r="G394" t="s">
        <v>682</v>
      </c>
      <c r="H394" t="s">
        <v>1099</v>
      </c>
      <c r="I394" s="57" t="s">
        <v>1057</v>
      </c>
      <c r="J394" s="57" t="s">
        <v>1100</v>
      </c>
      <c r="K394" s="57" t="s">
        <v>267</v>
      </c>
      <c r="L394" s="58" t="s">
        <v>307</v>
      </c>
      <c r="M394" s="59">
        <v>46531</v>
      </c>
      <c r="N394" s="60">
        <v>46562</v>
      </c>
    </row>
    <row r="395" spans="2:14" hidden="1" x14ac:dyDescent="0.3">
      <c r="B395" s="56" t="s">
        <v>263</v>
      </c>
      <c r="C395" s="57" t="s">
        <v>883</v>
      </c>
      <c r="D395" s="57" t="s">
        <v>283</v>
      </c>
      <c r="E395" s="57" t="s">
        <v>1036</v>
      </c>
      <c r="F395" s="57" t="s">
        <v>1101</v>
      </c>
      <c r="G395" t="s">
        <v>1101</v>
      </c>
      <c r="H395" t="s">
        <v>1101</v>
      </c>
      <c r="I395" s="57" t="s">
        <v>1102</v>
      </c>
      <c r="J395" s="57" t="s">
        <v>1103</v>
      </c>
      <c r="K395" s="57" t="s">
        <v>267</v>
      </c>
      <c r="L395" s="58" t="s">
        <v>307</v>
      </c>
      <c r="M395" s="59">
        <v>46613</v>
      </c>
      <c r="N395" s="60">
        <v>46644</v>
      </c>
    </row>
    <row r="396" spans="2:14" hidden="1" x14ac:dyDescent="0.3">
      <c r="B396" s="56" t="s">
        <v>263</v>
      </c>
      <c r="C396" s="57" t="s">
        <v>883</v>
      </c>
      <c r="D396" s="57" t="s">
        <v>1104</v>
      </c>
      <c r="E396" s="57" t="s">
        <v>1104</v>
      </c>
      <c r="F396" s="57" t="s">
        <v>1104</v>
      </c>
      <c r="G396" t="s">
        <v>1104</v>
      </c>
      <c r="H396" t="s">
        <v>1104</v>
      </c>
      <c r="I396" s="57" t="s">
        <v>1105</v>
      </c>
      <c r="J396" s="57" t="s">
        <v>1106</v>
      </c>
      <c r="K396" s="57" t="s">
        <v>267</v>
      </c>
      <c r="L396" s="58" t="s">
        <v>307</v>
      </c>
      <c r="M396" s="59">
        <v>46510</v>
      </c>
      <c r="N396" s="60">
        <v>46546</v>
      </c>
    </row>
    <row r="397" spans="2:14" hidden="1" x14ac:dyDescent="0.3">
      <c r="B397" s="56" t="s">
        <v>263</v>
      </c>
      <c r="C397" s="57" t="s">
        <v>883</v>
      </c>
      <c r="D397" s="57" t="s">
        <v>290</v>
      </c>
      <c r="E397" s="57" t="s">
        <v>693</v>
      </c>
      <c r="F397" s="57" t="s">
        <v>884</v>
      </c>
      <c r="G397" t="s">
        <v>694</v>
      </c>
      <c r="H397" t="s">
        <v>885</v>
      </c>
      <c r="I397" s="57" t="s">
        <v>1107</v>
      </c>
      <c r="J397" s="57" t="s">
        <v>1108</v>
      </c>
      <c r="K397" s="57" t="s">
        <v>267</v>
      </c>
      <c r="L397" s="58" t="s">
        <v>397</v>
      </c>
      <c r="M397" s="59">
        <v>46063</v>
      </c>
      <c r="N397" s="60">
        <v>46084</v>
      </c>
    </row>
    <row r="398" spans="2:14" hidden="1" x14ac:dyDescent="0.3">
      <c r="B398" s="56" t="s">
        <v>263</v>
      </c>
      <c r="C398" s="57" t="s">
        <v>883</v>
      </c>
      <c r="D398" s="57" t="s">
        <v>290</v>
      </c>
      <c r="E398" s="57" t="s">
        <v>693</v>
      </c>
      <c r="F398" s="57" t="s">
        <v>884</v>
      </c>
      <c r="G398" t="s">
        <v>694</v>
      </c>
      <c r="H398" t="s">
        <v>888</v>
      </c>
      <c r="I398" s="57" t="s">
        <v>1107</v>
      </c>
      <c r="J398" s="57" t="s">
        <v>1109</v>
      </c>
      <c r="K398" s="57" t="s">
        <v>267</v>
      </c>
      <c r="L398" s="58" t="s">
        <v>397</v>
      </c>
      <c r="M398" s="59">
        <v>46063</v>
      </c>
      <c r="N398" s="60">
        <v>46084</v>
      </c>
    </row>
    <row r="399" spans="2:14" hidden="1" x14ac:dyDescent="0.3">
      <c r="B399" s="56" t="s">
        <v>263</v>
      </c>
      <c r="C399" s="57" t="s">
        <v>883</v>
      </c>
      <c r="D399" s="57" t="s">
        <v>290</v>
      </c>
      <c r="E399" s="57" t="s">
        <v>693</v>
      </c>
      <c r="F399" s="57" t="s">
        <v>884</v>
      </c>
      <c r="G399" t="s">
        <v>699</v>
      </c>
      <c r="H399" t="s">
        <v>885</v>
      </c>
      <c r="I399" s="57" t="s">
        <v>1107</v>
      </c>
      <c r="J399" s="57" t="s">
        <v>1110</v>
      </c>
      <c r="K399" s="57" t="s">
        <v>267</v>
      </c>
      <c r="L399" s="58" t="s">
        <v>307</v>
      </c>
      <c r="M399" s="59">
        <v>46292</v>
      </c>
      <c r="N399" s="60">
        <v>46323</v>
      </c>
    </row>
    <row r="400" spans="2:14" hidden="1" x14ac:dyDescent="0.3">
      <c r="B400" s="56" t="s">
        <v>263</v>
      </c>
      <c r="C400" s="57" t="s">
        <v>883</v>
      </c>
      <c r="D400" s="57" t="s">
        <v>290</v>
      </c>
      <c r="E400" s="57" t="s">
        <v>693</v>
      </c>
      <c r="F400" s="57" t="s">
        <v>884</v>
      </c>
      <c r="G400" t="s">
        <v>699</v>
      </c>
      <c r="H400" t="s">
        <v>888</v>
      </c>
      <c r="I400" s="57" t="s">
        <v>1107</v>
      </c>
      <c r="J400" s="57" t="s">
        <v>1111</v>
      </c>
      <c r="K400" s="57" t="s">
        <v>267</v>
      </c>
      <c r="L400" s="58" t="s">
        <v>307</v>
      </c>
      <c r="M400" s="59">
        <v>46292</v>
      </c>
      <c r="N400" s="60">
        <v>46323</v>
      </c>
    </row>
    <row r="401" spans="2:14" hidden="1" x14ac:dyDescent="0.3">
      <c r="B401" s="56" t="s">
        <v>263</v>
      </c>
      <c r="C401" s="57" t="s">
        <v>883</v>
      </c>
      <c r="D401" s="57" t="s">
        <v>290</v>
      </c>
      <c r="E401" s="57" t="s">
        <v>693</v>
      </c>
      <c r="F401" s="57" t="s">
        <v>884</v>
      </c>
      <c r="G401" t="s">
        <v>705</v>
      </c>
      <c r="H401" t="s">
        <v>885</v>
      </c>
      <c r="I401" s="57" t="s">
        <v>1107</v>
      </c>
      <c r="J401" s="57" t="s">
        <v>1112</v>
      </c>
      <c r="K401" s="57" t="s">
        <v>267</v>
      </c>
      <c r="L401" s="58" t="s">
        <v>307</v>
      </c>
      <c r="M401" s="59">
        <v>46324</v>
      </c>
      <c r="N401" s="60">
        <v>46356</v>
      </c>
    </row>
    <row r="402" spans="2:14" hidden="1" x14ac:dyDescent="0.3">
      <c r="B402" s="56" t="s">
        <v>263</v>
      </c>
      <c r="C402" s="57" t="s">
        <v>883</v>
      </c>
      <c r="D402" s="57" t="s">
        <v>290</v>
      </c>
      <c r="E402" s="57" t="s">
        <v>693</v>
      </c>
      <c r="F402" s="57" t="s">
        <v>884</v>
      </c>
      <c r="G402" t="s">
        <v>705</v>
      </c>
      <c r="H402" t="s">
        <v>888</v>
      </c>
      <c r="I402" s="57" t="s">
        <v>1107</v>
      </c>
      <c r="J402" s="57" t="s">
        <v>1113</v>
      </c>
      <c r="K402" s="57" t="s">
        <v>267</v>
      </c>
      <c r="L402" s="58" t="s">
        <v>307</v>
      </c>
      <c r="M402" s="59">
        <v>46324</v>
      </c>
      <c r="N402" s="60">
        <v>46356</v>
      </c>
    </row>
    <row r="403" spans="2:14" hidden="1" x14ac:dyDescent="0.3">
      <c r="B403" s="56" t="s">
        <v>263</v>
      </c>
      <c r="C403" s="57" t="s">
        <v>883</v>
      </c>
      <c r="D403" s="57" t="s">
        <v>290</v>
      </c>
      <c r="E403" s="57" t="s">
        <v>693</v>
      </c>
      <c r="F403" s="57" t="s">
        <v>923</v>
      </c>
      <c r="G403" t="s">
        <v>694</v>
      </c>
      <c r="H403" t="s">
        <v>924</v>
      </c>
      <c r="I403" s="57" t="s">
        <v>1114</v>
      </c>
      <c r="J403" s="57" t="s">
        <v>1115</v>
      </c>
      <c r="K403" s="57" t="s">
        <v>267</v>
      </c>
      <c r="L403" s="58" t="s">
        <v>307</v>
      </c>
      <c r="M403" s="59">
        <v>46338</v>
      </c>
      <c r="N403" s="60">
        <v>46370</v>
      </c>
    </row>
    <row r="404" spans="2:14" hidden="1" x14ac:dyDescent="0.3">
      <c r="B404" s="56" t="s">
        <v>263</v>
      </c>
      <c r="C404" s="57" t="s">
        <v>883</v>
      </c>
      <c r="D404" s="57" t="s">
        <v>290</v>
      </c>
      <c r="E404" s="57" t="s">
        <v>693</v>
      </c>
      <c r="F404" s="57" t="s">
        <v>923</v>
      </c>
      <c r="G404" t="s">
        <v>694</v>
      </c>
      <c r="H404" t="s">
        <v>927</v>
      </c>
      <c r="I404" s="57" t="s">
        <v>1114</v>
      </c>
      <c r="J404" s="57" t="s">
        <v>1116</v>
      </c>
      <c r="K404" s="57" t="s">
        <v>267</v>
      </c>
      <c r="L404" s="58" t="s">
        <v>307</v>
      </c>
      <c r="M404" s="59">
        <v>46246</v>
      </c>
      <c r="N404" s="60">
        <v>46278</v>
      </c>
    </row>
    <row r="405" spans="2:14" hidden="1" x14ac:dyDescent="0.3">
      <c r="B405" s="56" t="s">
        <v>263</v>
      </c>
      <c r="C405" s="57" t="s">
        <v>883</v>
      </c>
      <c r="D405" s="57" t="s">
        <v>290</v>
      </c>
      <c r="E405" s="57" t="s">
        <v>693</v>
      </c>
      <c r="F405" s="57" t="s">
        <v>923</v>
      </c>
      <c r="G405" t="s">
        <v>694</v>
      </c>
      <c r="H405" t="s">
        <v>929</v>
      </c>
      <c r="I405" s="57" t="s">
        <v>1114</v>
      </c>
      <c r="J405" s="57" t="s">
        <v>1117</v>
      </c>
      <c r="K405" s="57" t="s">
        <v>267</v>
      </c>
      <c r="L405" s="58" t="s">
        <v>307</v>
      </c>
      <c r="M405" s="59">
        <v>46246</v>
      </c>
      <c r="N405" s="60">
        <v>46278</v>
      </c>
    </row>
    <row r="406" spans="2:14" hidden="1" x14ac:dyDescent="0.3">
      <c r="B406" s="56" t="s">
        <v>263</v>
      </c>
      <c r="C406" s="57" t="s">
        <v>883</v>
      </c>
      <c r="D406" s="57" t="s">
        <v>290</v>
      </c>
      <c r="E406" s="57" t="s">
        <v>693</v>
      </c>
      <c r="F406" s="57" t="s">
        <v>923</v>
      </c>
      <c r="G406" t="s">
        <v>694</v>
      </c>
      <c r="H406" t="s">
        <v>931</v>
      </c>
      <c r="I406" s="57" t="s">
        <v>1114</v>
      </c>
      <c r="J406" s="57" t="s">
        <v>1118</v>
      </c>
      <c r="K406" s="57" t="s">
        <v>267</v>
      </c>
      <c r="L406" s="58" t="s">
        <v>307</v>
      </c>
      <c r="M406" s="59">
        <v>46156</v>
      </c>
      <c r="N406" s="60">
        <v>46191</v>
      </c>
    </row>
    <row r="407" spans="2:14" hidden="1" x14ac:dyDescent="0.3">
      <c r="B407" s="56" t="s">
        <v>263</v>
      </c>
      <c r="C407" s="57" t="s">
        <v>883</v>
      </c>
      <c r="D407" s="57" t="s">
        <v>290</v>
      </c>
      <c r="E407" s="57" t="s">
        <v>693</v>
      </c>
      <c r="F407" s="57" t="s">
        <v>923</v>
      </c>
      <c r="G407" t="s">
        <v>694</v>
      </c>
      <c r="H407" t="s">
        <v>933</v>
      </c>
      <c r="I407" s="57" t="s">
        <v>1114</v>
      </c>
      <c r="J407" s="57" t="s">
        <v>1119</v>
      </c>
      <c r="K407" s="57" t="s">
        <v>267</v>
      </c>
      <c r="L407" s="58" t="s">
        <v>307</v>
      </c>
      <c r="M407" s="59">
        <v>46310</v>
      </c>
      <c r="N407" s="60">
        <v>46342</v>
      </c>
    </row>
    <row r="408" spans="2:14" hidden="1" x14ac:dyDescent="0.3">
      <c r="B408" s="56" t="s">
        <v>263</v>
      </c>
      <c r="C408" s="57" t="s">
        <v>883</v>
      </c>
      <c r="D408" s="57" t="s">
        <v>290</v>
      </c>
      <c r="E408" s="57" t="s">
        <v>693</v>
      </c>
      <c r="F408" s="57" t="s">
        <v>923</v>
      </c>
      <c r="G408" t="s">
        <v>699</v>
      </c>
      <c r="H408" t="s">
        <v>924</v>
      </c>
      <c r="I408" s="57" t="s">
        <v>1114</v>
      </c>
      <c r="J408" s="57" t="s">
        <v>1120</v>
      </c>
      <c r="K408" s="57" t="s">
        <v>267</v>
      </c>
      <c r="L408" s="58" t="s">
        <v>307</v>
      </c>
      <c r="M408" s="59">
        <v>46385</v>
      </c>
      <c r="N408" s="60">
        <v>46417</v>
      </c>
    </row>
    <row r="409" spans="2:14" hidden="1" x14ac:dyDescent="0.3">
      <c r="B409" s="56" t="s">
        <v>263</v>
      </c>
      <c r="C409" s="57" t="s">
        <v>883</v>
      </c>
      <c r="D409" s="57" t="s">
        <v>290</v>
      </c>
      <c r="E409" s="57" t="s">
        <v>693</v>
      </c>
      <c r="F409" s="57" t="s">
        <v>923</v>
      </c>
      <c r="G409" t="s">
        <v>699</v>
      </c>
      <c r="H409" t="s">
        <v>927</v>
      </c>
      <c r="I409" s="57" t="s">
        <v>1114</v>
      </c>
      <c r="J409" s="57" t="s">
        <v>1121</v>
      </c>
      <c r="K409" s="57" t="s">
        <v>267</v>
      </c>
      <c r="L409" s="58" t="s">
        <v>307</v>
      </c>
      <c r="M409" s="59">
        <v>46376</v>
      </c>
      <c r="N409" s="60">
        <v>46407</v>
      </c>
    </row>
    <row r="410" spans="2:14" hidden="1" x14ac:dyDescent="0.3">
      <c r="B410" s="56" t="s">
        <v>263</v>
      </c>
      <c r="C410" s="57" t="s">
        <v>883</v>
      </c>
      <c r="D410" s="57" t="s">
        <v>290</v>
      </c>
      <c r="E410" s="57" t="s">
        <v>693</v>
      </c>
      <c r="F410" s="57" t="s">
        <v>923</v>
      </c>
      <c r="G410" t="s">
        <v>699</v>
      </c>
      <c r="H410" t="s">
        <v>929</v>
      </c>
      <c r="I410" s="57" t="s">
        <v>1114</v>
      </c>
      <c r="J410" s="57" t="s">
        <v>1122</v>
      </c>
      <c r="K410" s="57" t="s">
        <v>267</v>
      </c>
      <c r="L410" s="58" t="s">
        <v>307</v>
      </c>
      <c r="M410" s="59">
        <v>46376</v>
      </c>
      <c r="N410" s="60">
        <v>46407</v>
      </c>
    </row>
    <row r="411" spans="2:14" hidden="1" x14ac:dyDescent="0.3">
      <c r="B411" s="56" t="s">
        <v>263</v>
      </c>
      <c r="C411" s="57" t="s">
        <v>883</v>
      </c>
      <c r="D411" s="57" t="s">
        <v>290</v>
      </c>
      <c r="E411" s="57" t="s">
        <v>693</v>
      </c>
      <c r="F411" s="57" t="s">
        <v>923</v>
      </c>
      <c r="G411" t="s">
        <v>699</v>
      </c>
      <c r="H411" t="s">
        <v>931</v>
      </c>
      <c r="I411" s="57" t="s">
        <v>1114</v>
      </c>
      <c r="J411" s="57" t="s">
        <v>1123</v>
      </c>
      <c r="K411" s="57" t="s">
        <v>267</v>
      </c>
      <c r="L411" s="58" t="s">
        <v>307</v>
      </c>
      <c r="M411" s="59">
        <v>46376</v>
      </c>
      <c r="N411" s="60">
        <v>46407</v>
      </c>
    </row>
    <row r="412" spans="2:14" hidden="1" x14ac:dyDescent="0.3">
      <c r="B412" s="56" t="s">
        <v>263</v>
      </c>
      <c r="C412" s="57" t="s">
        <v>883</v>
      </c>
      <c r="D412" s="57" t="s">
        <v>290</v>
      </c>
      <c r="E412" s="57" t="s">
        <v>693</v>
      </c>
      <c r="F412" s="57" t="s">
        <v>923</v>
      </c>
      <c r="G412" t="s">
        <v>699</v>
      </c>
      <c r="H412" t="s">
        <v>933</v>
      </c>
      <c r="I412" s="57" t="s">
        <v>1114</v>
      </c>
      <c r="J412" s="57" t="s">
        <v>1124</v>
      </c>
      <c r="K412" s="57" t="s">
        <v>267</v>
      </c>
      <c r="L412" s="58" t="s">
        <v>307</v>
      </c>
      <c r="M412" s="59">
        <v>46376</v>
      </c>
      <c r="N412" s="60">
        <v>46407</v>
      </c>
    </row>
    <row r="413" spans="2:14" hidden="1" x14ac:dyDescent="0.3">
      <c r="B413" s="56" t="s">
        <v>263</v>
      </c>
      <c r="C413" s="57" t="s">
        <v>883</v>
      </c>
      <c r="D413" s="57" t="s">
        <v>290</v>
      </c>
      <c r="E413" s="57" t="s">
        <v>693</v>
      </c>
      <c r="F413" s="57" t="s">
        <v>923</v>
      </c>
      <c r="G413" t="s">
        <v>705</v>
      </c>
      <c r="H413" t="s">
        <v>924</v>
      </c>
      <c r="I413" s="57" t="s">
        <v>1114</v>
      </c>
      <c r="J413" s="57" t="s">
        <v>1125</v>
      </c>
      <c r="K413" s="57" t="s">
        <v>267</v>
      </c>
      <c r="L413" s="58" t="s">
        <v>307</v>
      </c>
      <c r="M413" s="59">
        <v>46432</v>
      </c>
      <c r="N413" s="60">
        <v>46467</v>
      </c>
    </row>
    <row r="414" spans="2:14" hidden="1" x14ac:dyDescent="0.3">
      <c r="B414" s="56" t="s">
        <v>263</v>
      </c>
      <c r="C414" s="57" t="s">
        <v>883</v>
      </c>
      <c r="D414" s="57" t="s">
        <v>290</v>
      </c>
      <c r="E414" s="57" t="s">
        <v>693</v>
      </c>
      <c r="F414" s="57" t="s">
        <v>923</v>
      </c>
      <c r="G414" t="s">
        <v>705</v>
      </c>
      <c r="H414" t="s">
        <v>927</v>
      </c>
      <c r="I414" s="57" t="s">
        <v>1114</v>
      </c>
      <c r="J414" s="57" t="s">
        <v>1126</v>
      </c>
      <c r="K414" s="57" t="s">
        <v>267</v>
      </c>
      <c r="L414" s="58" t="s">
        <v>307</v>
      </c>
      <c r="M414" s="59">
        <v>46422</v>
      </c>
      <c r="N414" s="60">
        <v>46455</v>
      </c>
    </row>
    <row r="415" spans="2:14" hidden="1" x14ac:dyDescent="0.3">
      <c r="B415" s="56" t="s">
        <v>263</v>
      </c>
      <c r="C415" s="57" t="s">
        <v>883</v>
      </c>
      <c r="D415" s="57" t="s">
        <v>290</v>
      </c>
      <c r="E415" s="57" t="s">
        <v>693</v>
      </c>
      <c r="F415" s="57" t="s">
        <v>923</v>
      </c>
      <c r="G415" t="s">
        <v>705</v>
      </c>
      <c r="H415" t="s">
        <v>929</v>
      </c>
      <c r="I415" s="57" t="s">
        <v>1114</v>
      </c>
      <c r="J415" s="57" t="s">
        <v>1127</v>
      </c>
      <c r="K415" s="57" t="s">
        <v>267</v>
      </c>
      <c r="L415" s="58" t="s">
        <v>307</v>
      </c>
      <c r="M415" s="59">
        <v>46459</v>
      </c>
      <c r="N415" s="60">
        <v>46490</v>
      </c>
    </row>
    <row r="416" spans="2:14" hidden="1" x14ac:dyDescent="0.3">
      <c r="B416" s="56" t="s">
        <v>263</v>
      </c>
      <c r="C416" s="57" t="s">
        <v>883</v>
      </c>
      <c r="D416" s="57" t="s">
        <v>290</v>
      </c>
      <c r="E416" s="57" t="s">
        <v>693</v>
      </c>
      <c r="F416" s="57" t="s">
        <v>923</v>
      </c>
      <c r="G416" t="s">
        <v>705</v>
      </c>
      <c r="H416" t="s">
        <v>931</v>
      </c>
      <c r="I416" s="57" t="s">
        <v>1114</v>
      </c>
      <c r="J416" s="57" t="s">
        <v>1128</v>
      </c>
      <c r="K416" s="57" t="s">
        <v>267</v>
      </c>
      <c r="L416" s="58" t="s">
        <v>307</v>
      </c>
      <c r="M416" s="59">
        <v>46422</v>
      </c>
      <c r="N416" s="60">
        <v>46455</v>
      </c>
    </row>
    <row r="417" spans="2:14" hidden="1" x14ac:dyDescent="0.3">
      <c r="B417" s="56" t="s">
        <v>263</v>
      </c>
      <c r="C417" s="57" t="s">
        <v>883</v>
      </c>
      <c r="D417" s="57" t="s">
        <v>290</v>
      </c>
      <c r="E417" s="57" t="s">
        <v>693</v>
      </c>
      <c r="F417" s="57" t="s">
        <v>923</v>
      </c>
      <c r="G417" t="s">
        <v>705</v>
      </c>
      <c r="H417" t="s">
        <v>933</v>
      </c>
      <c r="I417" s="57" t="s">
        <v>1114</v>
      </c>
      <c r="J417" s="57" t="s">
        <v>1129</v>
      </c>
      <c r="K417" s="57" t="s">
        <v>267</v>
      </c>
      <c r="L417" s="58" t="s">
        <v>307</v>
      </c>
      <c r="M417" s="59">
        <v>46422</v>
      </c>
      <c r="N417" s="60">
        <v>46455</v>
      </c>
    </row>
    <row r="418" spans="2:14" hidden="1" x14ac:dyDescent="0.3">
      <c r="B418" s="56" t="s">
        <v>263</v>
      </c>
      <c r="C418" s="57" t="s">
        <v>883</v>
      </c>
      <c r="D418" s="57" t="s">
        <v>290</v>
      </c>
      <c r="E418" s="57" t="s">
        <v>693</v>
      </c>
      <c r="F418" s="57" t="s">
        <v>1001</v>
      </c>
      <c r="G418" t="s">
        <v>1002</v>
      </c>
      <c r="H418" t="s">
        <v>1002</v>
      </c>
      <c r="I418" s="57" t="s">
        <v>1130</v>
      </c>
      <c r="J418" s="57" t="s">
        <v>1131</v>
      </c>
      <c r="K418" s="57" t="s">
        <v>267</v>
      </c>
      <c r="L418" s="58" t="s">
        <v>307</v>
      </c>
      <c r="M418" s="59">
        <v>46482</v>
      </c>
      <c r="N418" s="60">
        <v>46513</v>
      </c>
    </row>
    <row r="419" spans="2:14" hidden="1" x14ac:dyDescent="0.3">
      <c r="B419" s="56" t="s">
        <v>263</v>
      </c>
      <c r="C419" s="57" t="s">
        <v>883</v>
      </c>
      <c r="D419" s="57" t="s">
        <v>290</v>
      </c>
      <c r="E419" s="57" t="s">
        <v>693</v>
      </c>
      <c r="F419" s="57" t="s">
        <v>1001</v>
      </c>
      <c r="G419" t="s">
        <v>1005</v>
      </c>
      <c r="H419" t="s">
        <v>1005</v>
      </c>
      <c r="I419" s="57" t="s">
        <v>1130</v>
      </c>
      <c r="J419" s="57" t="s">
        <v>1132</v>
      </c>
      <c r="K419" s="57" t="s">
        <v>267</v>
      </c>
      <c r="L419" s="58" t="s">
        <v>307</v>
      </c>
      <c r="M419" s="59">
        <v>46515</v>
      </c>
      <c r="N419" s="60">
        <v>46551</v>
      </c>
    </row>
    <row r="420" spans="2:14" hidden="1" x14ac:dyDescent="0.3">
      <c r="B420" s="56" t="s">
        <v>263</v>
      </c>
      <c r="C420" s="57" t="s">
        <v>883</v>
      </c>
      <c r="D420" s="57" t="s">
        <v>290</v>
      </c>
      <c r="E420" s="57" t="s">
        <v>693</v>
      </c>
      <c r="F420" s="57" t="s">
        <v>1001</v>
      </c>
      <c r="G420" t="s">
        <v>1008</v>
      </c>
      <c r="H420" t="s">
        <v>1008</v>
      </c>
      <c r="I420" s="57" t="s">
        <v>1130</v>
      </c>
      <c r="J420" s="57" t="s">
        <v>1133</v>
      </c>
      <c r="K420" s="57" t="s">
        <v>267</v>
      </c>
      <c r="L420" s="58" t="s">
        <v>307</v>
      </c>
      <c r="M420" s="59">
        <v>46552</v>
      </c>
      <c r="N420" s="60">
        <v>46583</v>
      </c>
    </row>
    <row r="421" spans="2:14" hidden="1" x14ac:dyDescent="0.3">
      <c r="B421" s="56" t="s">
        <v>263</v>
      </c>
      <c r="C421" s="57" t="s">
        <v>883</v>
      </c>
      <c r="D421" s="57" t="s">
        <v>290</v>
      </c>
      <c r="E421" s="57" t="s">
        <v>693</v>
      </c>
      <c r="F421" s="57" t="s">
        <v>1001</v>
      </c>
      <c r="G421" t="s">
        <v>1011</v>
      </c>
      <c r="H421" t="s">
        <v>1011</v>
      </c>
      <c r="I421" s="57" t="s">
        <v>1130</v>
      </c>
      <c r="J421" s="57" t="s">
        <v>1134</v>
      </c>
      <c r="K421" s="57" t="s">
        <v>267</v>
      </c>
      <c r="L421" s="58" t="s">
        <v>307</v>
      </c>
      <c r="M421" s="59">
        <v>46585</v>
      </c>
      <c r="N421" s="60">
        <v>46616</v>
      </c>
    </row>
    <row r="422" spans="2:14" hidden="1" x14ac:dyDescent="0.3">
      <c r="B422" s="56" t="s">
        <v>263</v>
      </c>
      <c r="C422" s="57" t="s">
        <v>883</v>
      </c>
      <c r="D422" s="57" t="s">
        <v>290</v>
      </c>
      <c r="E422" s="57" t="s">
        <v>693</v>
      </c>
      <c r="F422" s="57" t="s">
        <v>1014</v>
      </c>
      <c r="G422" t="s">
        <v>1015</v>
      </c>
      <c r="H422" t="s">
        <v>1015</v>
      </c>
      <c r="I422" s="57" t="s">
        <v>1135</v>
      </c>
      <c r="J422" s="57" t="s">
        <v>1136</v>
      </c>
      <c r="K422" s="57" t="s">
        <v>267</v>
      </c>
      <c r="L422" s="58" t="s">
        <v>307</v>
      </c>
      <c r="M422" s="59">
        <v>46552</v>
      </c>
      <c r="N422" s="60">
        <v>46583</v>
      </c>
    </row>
    <row r="423" spans="2:14" hidden="1" x14ac:dyDescent="0.3">
      <c r="B423" s="56" t="s">
        <v>263</v>
      </c>
      <c r="C423" s="57" t="s">
        <v>883</v>
      </c>
      <c r="D423" s="57" t="s">
        <v>290</v>
      </c>
      <c r="E423" s="57" t="s">
        <v>693</v>
      </c>
      <c r="F423" s="57" t="s">
        <v>1014</v>
      </c>
      <c r="G423" t="s">
        <v>1018</v>
      </c>
      <c r="H423" t="s">
        <v>1018</v>
      </c>
      <c r="I423" s="57" t="s">
        <v>1135</v>
      </c>
      <c r="J423" s="57" t="s">
        <v>1137</v>
      </c>
      <c r="K423" s="57" t="s">
        <v>267</v>
      </c>
      <c r="L423" s="58" t="s">
        <v>307</v>
      </c>
      <c r="M423" s="59">
        <v>46631</v>
      </c>
      <c r="N423" s="60">
        <v>46664</v>
      </c>
    </row>
    <row r="424" spans="2:14" hidden="1" x14ac:dyDescent="0.3">
      <c r="B424" s="56" t="s">
        <v>263</v>
      </c>
      <c r="C424" s="57" t="s">
        <v>883</v>
      </c>
      <c r="D424" s="57" t="s">
        <v>290</v>
      </c>
      <c r="E424" s="57" t="s">
        <v>693</v>
      </c>
      <c r="F424" s="57" t="s">
        <v>1014</v>
      </c>
      <c r="G424" t="s">
        <v>1021</v>
      </c>
      <c r="H424" t="s">
        <v>1021</v>
      </c>
      <c r="I424" s="57" t="s">
        <v>1135</v>
      </c>
      <c r="J424" s="57" t="s">
        <v>1138</v>
      </c>
      <c r="K424" s="57" t="s">
        <v>267</v>
      </c>
      <c r="L424" s="58" t="s">
        <v>307</v>
      </c>
      <c r="M424" s="59">
        <v>46665</v>
      </c>
      <c r="N424" s="60">
        <v>46697</v>
      </c>
    </row>
    <row r="425" spans="2:14" hidden="1" x14ac:dyDescent="0.3">
      <c r="B425" s="56" t="s">
        <v>263</v>
      </c>
      <c r="C425" s="57" t="s">
        <v>883</v>
      </c>
      <c r="D425" s="57" t="s">
        <v>290</v>
      </c>
      <c r="E425" s="57" t="s">
        <v>693</v>
      </c>
      <c r="F425" s="57" t="s">
        <v>1014</v>
      </c>
      <c r="G425" t="s">
        <v>1024</v>
      </c>
      <c r="H425" t="s">
        <v>1024</v>
      </c>
      <c r="I425" s="57" t="s">
        <v>1135</v>
      </c>
      <c r="J425" s="57" t="s">
        <v>1139</v>
      </c>
      <c r="K425" s="57" t="s">
        <v>267</v>
      </c>
      <c r="L425" s="58" t="s">
        <v>307</v>
      </c>
      <c r="M425" s="59">
        <v>46529</v>
      </c>
      <c r="N425" s="60">
        <v>46560</v>
      </c>
    </row>
    <row r="426" spans="2:14" hidden="1" x14ac:dyDescent="0.3">
      <c r="B426" s="56" t="s">
        <v>263</v>
      </c>
      <c r="C426" s="57" t="s">
        <v>883</v>
      </c>
      <c r="D426" s="57" t="s">
        <v>290</v>
      </c>
      <c r="E426" s="57" t="s">
        <v>693</v>
      </c>
      <c r="F426" s="57" t="s">
        <v>1014</v>
      </c>
      <c r="G426" t="s">
        <v>1027</v>
      </c>
      <c r="H426" t="s">
        <v>1027</v>
      </c>
      <c r="I426" s="57" t="s">
        <v>1135</v>
      </c>
      <c r="J426" s="57" t="s">
        <v>1140</v>
      </c>
      <c r="K426" s="57" t="s">
        <v>267</v>
      </c>
      <c r="L426" s="58" t="s">
        <v>307</v>
      </c>
      <c r="M426" s="59">
        <v>46631</v>
      </c>
      <c r="N426" s="60">
        <v>46664</v>
      </c>
    </row>
    <row r="427" spans="2:14" hidden="1" x14ac:dyDescent="0.3">
      <c r="B427" s="56" t="s">
        <v>263</v>
      </c>
      <c r="C427" s="57" t="s">
        <v>883</v>
      </c>
      <c r="D427" s="57" t="s">
        <v>290</v>
      </c>
      <c r="E427" s="57" t="s">
        <v>693</v>
      </c>
      <c r="F427" s="57" t="s">
        <v>1014</v>
      </c>
      <c r="G427" t="s">
        <v>1033</v>
      </c>
      <c r="H427" t="s">
        <v>1033</v>
      </c>
      <c r="I427" s="57" t="s">
        <v>1135</v>
      </c>
      <c r="J427" s="57" t="s">
        <v>1141</v>
      </c>
      <c r="K427" s="57" t="s">
        <v>267</v>
      </c>
      <c r="L427" s="58" t="s">
        <v>307</v>
      </c>
      <c r="M427" s="59">
        <v>46665</v>
      </c>
      <c r="N427" s="60">
        <v>46697</v>
      </c>
    </row>
    <row r="428" spans="2:14" hidden="1" x14ac:dyDescent="0.3">
      <c r="B428" s="56" t="s">
        <v>263</v>
      </c>
      <c r="C428" s="57" t="s">
        <v>883</v>
      </c>
      <c r="D428" s="57" t="s">
        <v>290</v>
      </c>
      <c r="E428" s="57" t="s">
        <v>693</v>
      </c>
      <c r="F428" s="57" t="s">
        <v>1036</v>
      </c>
      <c r="G428" t="s">
        <v>1056</v>
      </c>
      <c r="H428" t="s">
        <v>1056</v>
      </c>
      <c r="I428" s="57" t="s">
        <v>1142</v>
      </c>
      <c r="J428" s="57" t="s">
        <v>1143</v>
      </c>
      <c r="K428" s="57" t="s">
        <v>267</v>
      </c>
      <c r="L428" s="58" t="s">
        <v>311</v>
      </c>
      <c r="M428" s="59">
        <v>46698</v>
      </c>
      <c r="N428" s="60">
        <v>46721</v>
      </c>
    </row>
    <row r="429" spans="2:14" hidden="1" x14ac:dyDescent="0.3">
      <c r="B429" s="56" t="s">
        <v>263</v>
      </c>
      <c r="C429" s="57" t="s">
        <v>883</v>
      </c>
      <c r="D429" s="57" t="s">
        <v>290</v>
      </c>
      <c r="E429" s="57" t="s">
        <v>693</v>
      </c>
      <c r="F429" s="57" t="s">
        <v>1036</v>
      </c>
      <c r="G429" t="s">
        <v>1056</v>
      </c>
      <c r="H429" t="s">
        <v>1144</v>
      </c>
      <c r="I429" s="57" t="s">
        <v>1142</v>
      </c>
      <c r="J429" s="57" t="s">
        <v>1145</v>
      </c>
      <c r="K429" s="57" t="s">
        <v>267</v>
      </c>
      <c r="L429" s="58" t="s">
        <v>311</v>
      </c>
      <c r="M429" s="59">
        <v>46698</v>
      </c>
      <c r="N429" s="60">
        <v>46721</v>
      </c>
    </row>
    <row r="430" spans="2:14" hidden="1" x14ac:dyDescent="0.3">
      <c r="B430" s="56" t="s">
        <v>263</v>
      </c>
      <c r="C430" s="57" t="s">
        <v>883</v>
      </c>
      <c r="D430" s="57" t="s">
        <v>290</v>
      </c>
      <c r="E430" s="57" t="s">
        <v>693</v>
      </c>
      <c r="F430" s="57" t="s">
        <v>1036</v>
      </c>
      <c r="G430" t="s">
        <v>1048</v>
      </c>
      <c r="H430" t="s">
        <v>1048</v>
      </c>
      <c r="I430" s="57" t="s">
        <v>1142</v>
      </c>
      <c r="J430" s="57" t="s">
        <v>1146</v>
      </c>
      <c r="K430" s="57" t="s">
        <v>267</v>
      </c>
      <c r="L430" s="58" t="s">
        <v>307</v>
      </c>
      <c r="M430" s="59">
        <v>46585</v>
      </c>
      <c r="N430" s="60">
        <v>46616</v>
      </c>
    </row>
    <row r="431" spans="2:14" hidden="1" x14ac:dyDescent="0.3">
      <c r="B431" s="56" t="s">
        <v>263</v>
      </c>
      <c r="C431" s="57" t="s">
        <v>883</v>
      </c>
      <c r="D431" s="57" t="s">
        <v>290</v>
      </c>
      <c r="E431" s="57" t="s">
        <v>710</v>
      </c>
      <c r="F431" s="57" t="s">
        <v>884</v>
      </c>
      <c r="G431" t="s">
        <v>1147</v>
      </c>
      <c r="H431" t="s">
        <v>885</v>
      </c>
      <c r="I431" s="57" t="s">
        <v>1148</v>
      </c>
      <c r="J431" s="57" t="s">
        <v>1149</v>
      </c>
      <c r="K431" s="57" t="s">
        <v>267</v>
      </c>
      <c r="L431" s="58" t="s">
        <v>307</v>
      </c>
      <c r="M431" s="59">
        <v>46039</v>
      </c>
      <c r="N431" s="60">
        <v>46070</v>
      </c>
    </row>
    <row r="432" spans="2:14" hidden="1" x14ac:dyDescent="0.3">
      <c r="B432" s="56" t="s">
        <v>263</v>
      </c>
      <c r="C432" s="57" t="s">
        <v>883</v>
      </c>
      <c r="D432" s="57" t="s">
        <v>290</v>
      </c>
      <c r="E432" s="57" t="s">
        <v>710</v>
      </c>
      <c r="F432" s="57" t="s">
        <v>884</v>
      </c>
      <c r="G432" t="s">
        <v>1147</v>
      </c>
      <c r="H432" t="s">
        <v>888</v>
      </c>
      <c r="I432" s="57" t="s">
        <v>1148</v>
      </c>
      <c r="J432" s="57" t="s">
        <v>1150</v>
      </c>
      <c r="K432" s="57" t="s">
        <v>267</v>
      </c>
      <c r="L432" s="58" t="s">
        <v>307</v>
      </c>
      <c r="M432" s="59">
        <v>46039</v>
      </c>
      <c r="N432" s="60">
        <v>46070</v>
      </c>
    </row>
    <row r="433" spans="2:14" hidden="1" x14ac:dyDescent="0.3">
      <c r="B433" s="56" t="s">
        <v>263</v>
      </c>
      <c r="C433" s="57" t="s">
        <v>883</v>
      </c>
      <c r="D433" s="57" t="s">
        <v>290</v>
      </c>
      <c r="E433" s="57" t="s">
        <v>710</v>
      </c>
      <c r="F433" s="57" t="s">
        <v>884</v>
      </c>
      <c r="G433" t="s">
        <v>717</v>
      </c>
      <c r="H433" t="s">
        <v>885</v>
      </c>
      <c r="I433" s="57" t="s">
        <v>1148</v>
      </c>
      <c r="J433" s="57" t="s">
        <v>1151</v>
      </c>
      <c r="K433" s="57" t="s">
        <v>267</v>
      </c>
      <c r="L433" s="58" t="s">
        <v>307</v>
      </c>
      <c r="M433" s="59">
        <v>46324</v>
      </c>
      <c r="N433" s="60">
        <v>46356</v>
      </c>
    </row>
    <row r="434" spans="2:14" hidden="1" x14ac:dyDescent="0.3">
      <c r="B434" s="56" t="s">
        <v>263</v>
      </c>
      <c r="C434" s="57" t="s">
        <v>883</v>
      </c>
      <c r="D434" s="57" t="s">
        <v>290</v>
      </c>
      <c r="E434" s="57" t="s">
        <v>710</v>
      </c>
      <c r="F434" s="57" t="s">
        <v>884</v>
      </c>
      <c r="G434" t="s">
        <v>717</v>
      </c>
      <c r="H434" t="s">
        <v>888</v>
      </c>
      <c r="I434" s="57" t="s">
        <v>1148</v>
      </c>
      <c r="J434" s="57" t="s">
        <v>1152</v>
      </c>
      <c r="K434" s="57" t="s">
        <v>267</v>
      </c>
      <c r="L434" s="58" t="s">
        <v>307</v>
      </c>
      <c r="M434" s="59">
        <v>46324</v>
      </c>
      <c r="N434" s="60">
        <v>46356</v>
      </c>
    </row>
    <row r="435" spans="2:14" hidden="1" x14ac:dyDescent="0.3">
      <c r="B435" s="56" t="s">
        <v>263</v>
      </c>
      <c r="C435" s="57" t="s">
        <v>883</v>
      </c>
      <c r="D435" s="57" t="s">
        <v>290</v>
      </c>
      <c r="E435" s="57" t="s">
        <v>710</v>
      </c>
      <c r="F435" s="57" t="s">
        <v>884</v>
      </c>
      <c r="G435" t="s">
        <v>722</v>
      </c>
      <c r="H435" t="s">
        <v>885</v>
      </c>
      <c r="I435" s="57" t="s">
        <v>1148</v>
      </c>
      <c r="J435" s="57" t="s">
        <v>1153</v>
      </c>
      <c r="K435" s="57" t="s">
        <v>267</v>
      </c>
      <c r="L435" s="58" t="s">
        <v>307</v>
      </c>
      <c r="M435" s="59">
        <v>46357</v>
      </c>
      <c r="N435" s="60">
        <v>46389</v>
      </c>
    </row>
    <row r="436" spans="2:14" hidden="1" x14ac:dyDescent="0.3">
      <c r="B436" s="56" t="s">
        <v>263</v>
      </c>
      <c r="C436" s="57" t="s">
        <v>883</v>
      </c>
      <c r="D436" s="57" t="s">
        <v>290</v>
      </c>
      <c r="E436" s="57" t="s">
        <v>710</v>
      </c>
      <c r="F436" s="57" t="s">
        <v>884</v>
      </c>
      <c r="G436" t="s">
        <v>722</v>
      </c>
      <c r="H436" t="s">
        <v>888</v>
      </c>
      <c r="I436" s="57" t="s">
        <v>1148</v>
      </c>
      <c r="J436" s="57" t="s">
        <v>1154</v>
      </c>
      <c r="K436" s="57" t="s">
        <v>267</v>
      </c>
      <c r="L436" s="58" t="s">
        <v>307</v>
      </c>
      <c r="M436" s="59">
        <v>46357</v>
      </c>
      <c r="N436" s="60">
        <v>46389</v>
      </c>
    </row>
    <row r="437" spans="2:14" hidden="1" x14ac:dyDescent="0.3">
      <c r="B437" s="56" t="s">
        <v>263</v>
      </c>
      <c r="C437" s="57" t="s">
        <v>883</v>
      </c>
      <c r="D437" s="57" t="s">
        <v>290</v>
      </c>
      <c r="E437" s="57" t="s">
        <v>710</v>
      </c>
      <c r="F437" s="57" t="s">
        <v>923</v>
      </c>
      <c r="G437" t="s">
        <v>1147</v>
      </c>
      <c r="H437" t="s">
        <v>924</v>
      </c>
      <c r="I437" s="57" t="s">
        <v>1155</v>
      </c>
      <c r="J437" s="57" t="s">
        <v>1156</v>
      </c>
      <c r="K437" s="57" t="s">
        <v>267</v>
      </c>
      <c r="L437" s="58" t="s">
        <v>307</v>
      </c>
      <c r="M437" s="59">
        <v>46350</v>
      </c>
      <c r="N437" s="60">
        <v>46382</v>
      </c>
    </row>
    <row r="438" spans="2:14" hidden="1" x14ac:dyDescent="0.3">
      <c r="B438" s="56" t="s">
        <v>263</v>
      </c>
      <c r="C438" s="57" t="s">
        <v>883</v>
      </c>
      <c r="D438" s="57" t="s">
        <v>290</v>
      </c>
      <c r="E438" s="57" t="s">
        <v>710</v>
      </c>
      <c r="F438" s="57" t="s">
        <v>923</v>
      </c>
      <c r="G438" t="s">
        <v>1147</v>
      </c>
      <c r="H438" t="s">
        <v>927</v>
      </c>
      <c r="I438" s="57" t="s">
        <v>1155</v>
      </c>
      <c r="J438" s="57" t="s">
        <v>1157</v>
      </c>
      <c r="K438" s="57" t="s">
        <v>267</v>
      </c>
      <c r="L438" s="58" t="s">
        <v>307</v>
      </c>
      <c r="M438" s="59">
        <v>46258</v>
      </c>
      <c r="N438" s="60">
        <v>46291</v>
      </c>
    </row>
    <row r="439" spans="2:14" hidden="1" x14ac:dyDescent="0.3">
      <c r="B439" s="56" t="s">
        <v>263</v>
      </c>
      <c r="C439" s="57" t="s">
        <v>883</v>
      </c>
      <c r="D439" s="57" t="s">
        <v>290</v>
      </c>
      <c r="E439" s="57" t="s">
        <v>710</v>
      </c>
      <c r="F439" s="57" t="s">
        <v>923</v>
      </c>
      <c r="G439" t="s">
        <v>1147</v>
      </c>
      <c r="H439" t="s">
        <v>929</v>
      </c>
      <c r="I439" s="57" t="s">
        <v>1155</v>
      </c>
      <c r="J439" s="57" t="s">
        <v>1158</v>
      </c>
      <c r="K439" s="57" t="s">
        <v>267</v>
      </c>
      <c r="L439" s="58" t="s">
        <v>307</v>
      </c>
      <c r="M439" s="59">
        <v>46258</v>
      </c>
      <c r="N439" s="60">
        <v>46291</v>
      </c>
    </row>
    <row r="440" spans="2:14" hidden="1" x14ac:dyDescent="0.3">
      <c r="B440" s="56" t="s">
        <v>263</v>
      </c>
      <c r="C440" s="57" t="s">
        <v>883</v>
      </c>
      <c r="D440" s="57" t="s">
        <v>290</v>
      </c>
      <c r="E440" s="57" t="s">
        <v>710</v>
      </c>
      <c r="F440" s="57" t="s">
        <v>923</v>
      </c>
      <c r="G440" t="s">
        <v>1147</v>
      </c>
      <c r="H440" t="s">
        <v>931</v>
      </c>
      <c r="I440" s="57" t="s">
        <v>1155</v>
      </c>
      <c r="J440" s="57" t="s">
        <v>1159</v>
      </c>
      <c r="K440" s="57" t="s">
        <v>267</v>
      </c>
      <c r="L440" s="58" t="s">
        <v>307</v>
      </c>
      <c r="M440" s="59">
        <v>46172</v>
      </c>
      <c r="N440" s="60">
        <v>46203</v>
      </c>
    </row>
    <row r="441" spans="2:14" hidden="1" x14ac:dyDescent="0.3">
      <c r="B441" s="56" t="s">
        <v>263</v>
      </c>
      <c r="C441" s="57" t="s">
        <v>883</v>
      </c>
      <c r="D441" s="57" t="s">
        <v>290</v>
      </c>
      <c r="E441" s="57" t="s">
        <v>710</v>
      </c>
      <c r="F441" s="57" t="s">
        <v>923</v>
      </c>
      <c r="G441" t="s">
        <v>1147</v>
      </c>
      <c r="H441" t="s">
        <v>933</v>
      </c>
      <c r="I441" s="57" t="s">
        <v>1155</v>
      </c>
      <c r="J441" s="57" t="s">
        <v>1160</v>
      </c>
      <c r="K441" s="57" t="s">
        <v>267</v>
      </c>
      <c r="L441" s="58" t="s">
        <v>307</v>
      </c>
      <c r="M441" s="59">
        <v>46343</v>
      </c>
      <c r="N441" s="60">
        <v>46375</v>
      </c>
    </row>
    <row r="442" spans="2:14" hidden="1" x14ac:dyDescent="0.3">
      <c r="B442" s="56" t="s">
        <v>263</v>
      </c>
      <c r="C442" s="57" t="s">
        <v>883</v>
      </c>
      <c r="D442" s="57" t="s">
        <v>290</v>
      </c>
      <c r="E442" s="57" t="s">
        <v>710</v>
      </c>
      <c r="F442" s="57" t="s">
        <v>923</v>
      </c>
      <c r="G442" t="s">
        <v>717</v>
      </c>
      <c r="H442" t="s">
        <v>924</v>
      </c>
      <c r="I442" s="57" t="s">
        <v>1155</v>
      </c>
      <c r="J442" s="57" t="s">
        <v>1161</v>
      </c>
      <c r="K442" s="57" t="s">
        <v>267</v>
      </c>
      <c r="L442" s="58" t="s">
        <v>307</v>
      </c>
      <c r="M442" s="59">
        <v>46383</v>
      </c>
      <c r="N442" s="60">
        <v>46414</v>
      </c>
    </row>
    <row r="443" spans="2:14" hidden="1" x14ac:dyDescent="0.3">
      <c r="B443" s="56" t="s">
        <v>263</v>
      </c>
      <c r="C443" s="57" t="s">
        <v>883</v>
      </c>
      <c r="D443" s="57" t="s">
        <v>290</v>
      </c>
      <c r="E443" s="57" t="s">
        <v>710</v>
      </c>
      <c r="F443" s="57" t="s">
        <v>923</v>
      </c>
      <c r="G443" t="s">
        <v>717</v>
      </c>
      <c r="H443" t="s">
        <v>927</v>
      </c>
      <c r="I443" s="57" t="s">
        <v>1155</v>
      </c>
      <c r="J443" s="57" t="s">
        <v>1162</v>
      </c>
      <c r="K443" s="57" t="s">
        <v>267</v>
      </c>
      <c r="L443" s="58" t="s">
        <v>307</v>
      </c>
      <c r="M443" s="59">
        <v>46376</v>
      </c>
      <c r="N443" s="60">
        <v>46407</v>
      </c>
    </row>
    <row r="444" spans="2:14" hidden="1" x14ac:dyDescent="0.3">
      <c r="B444" s="56" t="s">
        <v>263</v>
      </c>
      <c r="C444" s="57" t="s">
        <v>883</v>
      </c>
      <c r="D444" s="57" t="s">
        <v>290</v>
      </c>
      <c r="E444" s="57" t="s">
        <v>710</v>
      </c>
      <c r="F444" s="57" t="s">
        <v>923</v>
      </c>
      <c r="G444" t="s">
        <v>717</v>
      </c>
      <c r="H444" t="s">
        <v>929</v>
      </c>
      <c r="I444" s="57" t="s">
        <v>1155</v>
      </c>
      <c r="J444" s="57" t="s">
        <v>1163</v>
      </c>
      <c r="K444" s="57" t="s">
        <v>267</v>
      </c>
      <c r="L444" s="58" t="s">
        <v>307</v>
      </c>
      <c r="M444" s="59">
        <v>46376</v>
      </c>
      <c r="N444" s="60">
        <v>46407</v>
      </c>
    </row>
    <row r="445" spans="2:14" hidden="1" x14ac:dyDescent="0.3">
      <c r="B445" s="56" t="s">
        <v>263</v>
      </c>
      <c r="C445" s="57" t="s">
        <v>883</v>
      </c>
      <c r="D445" s="57" t="s">
        <v>290</v>
      </c>
      <c r="E445" s="57" t="s">
        <v>710</v>
      </c>
      <c r="F445" s="57" t="s">
        <v>923</v>
      </c>
      <c r="G445" t="s">
        <v>717</v>
      </c>
      <c r="H445" t="s">
        <v>931</v>
      </c>
      <c r="I445" s="57" t="s">
        <v>1155</v>
      </c>
      <c r="J445" s="57" t="s">
        <v>1164</v>
      </c>
      <c r="K445" s="57" t="s">
        <v>267</v>
      </c>
      <c r="L445" s="58" t="s">
        <v>307</v>
      </c>
      <c r="M445" s="59">
        <v>46376</v>
      </c>
      <c r="N445" s="60">
        <v>46407</v>
      </c>
    </row>
    <row r="446" spans="2:14" hidden="1" x14ac:dyDescent="0.3">
      <c r="B446" s="56" t="s">
        <v>263</v>
      </c>
      <c r="C446" s="57" t="s">
        <v>883</v>
      </c>
      <c r="D446" s="57" t="s">
        <v>290</v>
      </c>
      <c r="E446" s="57" t="s">
        <v>710</v>
      </c>
      <c r="F446" s="57" t="s">
        <v>923</v>
      </c>
      <c r="G446" t="s">
        <v>717</v>
      </c>
      <c r="H446" t="s">
        <v>933</v>
      </c>
      <c r="I446" s="57" t="s">
        <v>1155</v>
      </c>
      <c r="J446" s="57" t="s">
        <v>1165</v>
      </c>
      <c r="K446" s="57" t="s">
        <v>267</v>
      </c>
      <c r="L446" s="58" t="s">
        <v>307</v>
      </c>
      <c r="M446" s="59">
        <v>46376</v>
      </c>
      <c r="N446" s="60">
        <v>46407</v>
      </c>
    </row>
    <row r="447" spans="2:14" hidden="1" x14ac:dyDescent="0.3">
      <c r="B447" s="56" t="s">
        <v>263</v>
      </c>
      <c r="C447" s="57" t="s">
        <v>883</v>
      </c>
      <c r="D447" s="57" t="s">
        <v>290</v>
      </c>
      <c r="E447" s="57" t="s">
        <v>710</v>
      </c>
      <c r="F447" s="57" t="s">
        <v>923</v>
      </c>
      <c r="G447" t="s">
        <v>722</v>
      </c>
      <c r="H447" t="s">
        <v>924</v>
      </c>
      <c r="I447" s="57" t="s">
        <v>1155</v>
      </c>
      <c r="J447" s="57" t="s">
        <v>1166</v>
      </c>
      <c r="K447" s="57" t="s">
        <v>267</v>
      </c>
      <c r="L447" s="58" t="s">
        <v>307</v>
      </c>
      <c r="M447" s="59">
        <v>46415</v>
      </c>
      <c r="N447" s="60">
        <v>46448</v>
      </c>
    </row>
    <row r="448" spans="2:14" hidden="1" x14ac:dyDescent="0.3">
      <c r="B448" s="56" t="s">
        <v>263</v>
      </c>
      <c r="C448" s="57" t="s">
        <v>883</v>
      </c>
      <c r="D448" s="57" t="s">
        <v>290</v>
      </c>
      <c r="E448" s="57" t="s">
        <v>710</v>
      </c>
      <c r="F448" s="57" t="s">
        <v>923</v>
      </c>
      <c r="G448" t="s">
        <v>722</v>
      </c>
      <c r="H448" t="s">
        <v>927</v>
      </c>
      <c r="I448" s="57" t="s">
        <v>1155</v>
      </c>
      <c r="J448" s="57" t="s">
        <v>1167</v>
      </c>
      <c r="K448" s="57" t="s">
        <v>267</v>
      </c>
      <c r="L448" s="58" t="s">
        <v>307</v>
      </c>
      <c r="M448" s="59">
        <v>46408</v>
      </c>
      <c r="N448" s="60">
        <v>46441</v>
      </c>
    </row>
    <row r="449" spans="2:14" hidden="1" x14ac:dyDescent="0.3">
      <c r="B449" s="56" t="s">
        <v>263</v>
      </c>
      <c r="C449" s="57" t="s">
        <v>883</v>
      </c>
      <c r="D449" s="57" t="s">
        <v>290</v>
      </c>
      <c r="E449" s="57" t="s">
        <v>710</v>
      </c>
      <c r="F449" s="57" t="s">
        <v>923</v>
      </c>
      <c r="G449" t="s">
        <v>722</v>
      </c>
      <c r="H449" t="s">
        <v>929</v>
      </c>
      <c r="I449" s="57" t="s">
        <v>1155</v>
      </c>
      <c r="J449" s="57" t="s">
        <v>1168</v>
      </c>
      <c r="K449" s="57" t="s">
        <v>267</v>
      </c>
      <c r="L449" s="58" t="s">
        <v>307</v>
      </c>
      <c r="M449" s="59">
        <v>46408</v>
      </c>
      <c r="N449" s="60">
        <v>46441</v>
      </c>
    </row>
    <row r="450" spans="2:14" hidden="1" x14ac:dyDescent="0.3">
      <c r="B450" s="56" t="s">
        <v>263</v>
      </c>
      <c r="C450" s="57" t="s">
        <v>883</v>
      </c>
      <c r="D450" s="57" t="s">
        <v>290</v>
      </c>
      <c r="E450" s="57" t="s">
        <v>710</v>
      </c>
      <c r="F450" s="57" t="s">
        <v>923</v>
      </c>
      <c r="G450" t="s">
        <v>722</v>
      </c>
      <c r="H450" t="s">
        <v>931</v>
      </c>
      <c r="I450" s="57" t="s">
        <v>1155</v>
      </c>
      <c r="J450" s="57" t="s">
        <v>1169</v>
      </c>
      <c r="K450" s="57" t="s">
        <v>267</v>
      </c>
      <c r="L450" s="58" t="s">
        <v>307</v>
      </c>
      <c r="M450" s="59">
        <v>46408</v>
      </c>
      <c r="N450" s="60">
        <v>46441</v>
      </c>
    </row>
    <row r="451" spans="2:14" hidden="1" x14ac:dyDescent="0.3">
      <c r="B451" s="56" t="s">
        <v>263</v>
      </c>
      <c r="C451" s="57" t="s">
        <v>883</v>
      </c>
      <c r="D451" s="57" t="s">
        <v>290</v>
      </c>
      <c r="E451" s="57" t="s">
        <v>710</v>
      </c>
      <c r="F451" s="57" t="s">
        <v>923</v>
      </c>
      <c r="G451" t="s">
        <v>722</v>
      </c>
      <c r="H451" t="s">
        <v>933</v>
      </c>
      <c r="I451" s="57" t="s">
        <v>1155</v>
      </c>
      <c r="J451" s="57" t="s">
        <v>1170</v>
      </c>
      <c r="K451" s="57" t="s">
        <v>267</v>
      </c>
      <c r="L451" s="58" t="s">
        <v>307</v>
      </c>
      <c r="M451" s="59">
        <v>46408</v>
      </c>
      <c r="N451" s="60">
        <v>46441</v>
      </c>
    </row>
    <row r="452" spans="2:14" hidden="1" x14ac:dyDescent="0.3">
      <c r="B452" s="56" t="s">
        <v>263</v>
      </c>
      <c r="C452" s="57" t="s">
        <v>883</v>
      </c>
      <c r="D452" s="57" t="s">
        <v>290</v>
      </c>
      <c r="E452" s="57" t="s">
        <v>710</v>
      </c>
      <c r="F452" s="57" t="s">
        <v>1001</v>
      </c>
      <c r="G452" t="s">
        <v>924</v>
      </c>
      <c r="H452" t="s">
        <v>924</v>
      </c>
      <c r="I452" s="57" t="s">
        <v>1171</v>
      </c>
      <c r="J452" s="57" t="s">
        <v>1172</v>
      </c>
      <c r="K452" s="57" t="s">
        <v>267</v>
      </c>
      <c r="L452" s="58" t="s">
        <v>307</v>
      </c>
      <c r="M452" s="59">
        <v>46449</v>
      </c>
      <c r="N452" s="60">
        <v>46483</v>
      </c>
    </row>
    <row r="453" spans="2:14" hidden="1" x14ac:dyDescent="0.3">
      <c r="B453" s="56" t="s">
        <v>263</v>
      </c>
      <c r="C453" s="57" t="s">
        <v>883</v>
      </c>
      <c r="D453" s="57" t="s">
        <v>290</v>
      </c>
      <c r="E453" s="57" t="s">
        <v>710</v>
      </c>
      <c r="F453" s="57" t="s">
        <v>1001</v>
      </c>
      <c r="G453" t="s">
        <v>1005</v>
      </c>
      <c r="H453" t="s">
        <v>1005</v>
      </c>
      <c r="I453" s="57" t="s">
        <v>1171</v>
      </c>
      <c r="J453" s="57" t="s">
        <v>1173</v>
      </c>
      <c r="K453" s="57" t="s">
        <v>267</v>
      </c>
      <c r="L453" s="58" t="s">
        <v>307</v>
      </c>
      <c r="M453" s="59">
        <v>46484</v>
      </c>
      <c r="N453" s="60">
        <v>46516</v>
      </c>
    </row>
    <row r="454" spans="2:14" hidden="1" x14ac:dyDescent="0.3">
      <c r="B454" s="56" t="s">
        <v>263</v>
      </c>
      <c r="C454" s="57" t="s">
        <v>883</v>
      </c>
      <c r="D454" s="57" t="s">
        <v>290</v>
      </c>
      <c r="E454" s="57" t="s">
        <v>710</v>
      </c>
      <c r="F454" s="57" t="s">
        <v>1001</v>
      </c>
      <c r="G454" t="s">
        <v>1008</v>
      </c>
      <c r="H454" t="s">
        <v>1008</v>
      </c>
      <c r="I454" s="57" t="s">
        <v>1171</v>
      </c>
      <c r="J454" s="57" t="s">
        <v>1174</v>
      </c>
      <c r="K454" s="57" t="s">
        <v>267</v>
      </c>
      <c r="L454" s="58" t="s">
        <v>307</v>
      </c>
      <c r="M454" s="59">
        <v>46517</v>
      </c>
      <c r="N454" s="60">
        <v>46553</v>
      </c>
    </row>
    <row r="455" spans="2:14" hidden="1" x14ac:dyDescent="0.3">
      <c r="B455" s="56" t="s">
        <v>263</v>
      </c>
      <c r="C455" s="57" t="s">
        <v>883</v>
      </c>
      <c r="D455" s="57" t="s">
        <v>290</v>
      </c>
      <c r="E455" s="57" t="s">
        <v>710</v>
      </c>
      <c r="F455" s="57" t="s">
        <v>1001</v>
      </c>
      <c r="G455" t="s">
        <v>1011</v>
      </c>
      <c r="H455" t="s">
        <v>1011</v>
      </c>
      <c r="I455" s="57" t="s">
        <v>1171</v>
      </c>
      <c r="J455" s="57" t="s">
        <v>1175</v>
      </c>
      <c r="K455" s="57" t="s">
        <v>267</v>
      </c>
      <c r="L455" s="58" t="s">
        <v>307</v>
      </c>
      <c r="M455" s="59">
        <v>46554</v>
      </c>
      <c r="N455" s="60">
        <v>46586</v>
      </c>
    </row>
    <row r="456" spans="2:14" hidden="1" x14ac:dyDescent="0.3">
      <c r="B456" s="56" t="s">
        <v>263</v>
      </c>
      <c r="C456" s="57" t="s">
        <v>883</v>
      </c>
      <c r="D456" s="57" t="s">
        <v>290</v>
      </c>
      <c r="E456" s="57" t="s">
        <v>710</v>
      </c>
      <c r="F456" s="57" t="s">
        <v>1014</v>
      </c>
      <c r="G456" t="s">
        <v>1015</v>
      </c>
      <c r="H456" t="s">
        <v>1015</v>
      </c>
      <c r="I456" s="57" t="s">
        <v>1176</v>
      </c>
      <c r="J456" s="57" t="s">
        <v>1177</v>
      </c>
      <c r="K456" s="57" t="s">
        <v>267</v>
      </c>
      <c r="L456" s="58" t="s">
        <v>307</v>
      </c>
      <c r="M456" s="59">
        <v>46517</v>
      </c>
      <c r="N456" s="60">
        <v>46553</v>
      </c>
    </row>
    <row r="457" spans="2:14" hidden="1" x14ac:dyDescent="0.3">
      <c r="B457" s="56" t="s">
        <v>263</v>
      </c>
      <c r="C457" s="57" t="s">
        <v>883</v>
      </c>
      <c r="D457" s="57" t="s">
        <v>290</v>
      </c>
      <c r="E457" s="57" t="s">
        <v>710</v>
      </c>
      <c r="F457" s="57" t="s">
        <v>1014</v>
      </c>
      <c r="G457" t="s">
        <v>1018</v>
      </c>
      <c r="H457" t="s">
        <v>1018</v>
      </c>
      <c r="I457" s="57" t="s">
        <v>1176</v>
      </c>
      <c r="J457" s="57" t="s">
        <v>1178</v>
      </c>
      <c r="K457" s="57" t="s">
        <v>267</v>
      </c>
      <c r="L457" s="58" t="s">
        <v>307</v>
      </c>
      <c r="M457" s="59">
        <v>46587</v>
      </c>
      <c r="N457" s="60">
        <v>46618</v>
      </c>
    </row>
    <row r="458" spans="2:14" hidden="1" x14ac:dyDescent="0.3">
      <c r="B458" s="56" t="s">
        <v>263</v>
      </c>
      <c r="C458" s="57" t="s">
        <v>883</v>
      </c>
      <c r="D458" s="57" t="s">
        <v>290</v>
      </c>
      <c r="E458" s="57" t="s">
        <v>710</v>
      </c>
      <c r="F458" s="57" t="s">
        <v>1014</v>
      </c>
      <c r="G458" t="s">
        <v>1021</v>
      </c>
      <c r="H458" t="s">
        <v>1021</v>
      </c>
      <c r="I458" s="57" t="s">
        <v>1176</v>
      </c>
      <c r="J458" s="57" t="s">
        <v>1179</v>
      </c>
      <c r="K458" s="57" t="s">
        <v>267</v>
      </c>
      <c r="L458" s="58" t="s">
        <v>307</v>
      </c>
      <c r="M458" s="59">
        <v>46620</v>
      </c>
      <c r="N458" s="60">
        <v>46651</v>
      </c>
    </row>
    <row r="459" spans="2:14" hidden="1" x14ac:dyDescent="0.3">
      <c r="B459" s="56" t="s">
        <v>263</v>
      </c>
      <c r="C459" s="57" t="s">
        <v>883</v>
      </c>
      <c r="D459" s="57" t="s">
        <v>290</v>
      </c>
      <c r="E459" s="57" t="s">
        <v>710</v>
      </c>
      <c r="F459" s="57" t="s">
        <v>1014</v>
      </c>
      <c r="G459" t="s">
        <v>1024</v>
      </c>
      <c r="H459" t="s">
        <v>1024</v>
      </c>
      <c r="I459" s="57" t="s">
        <v>1176</v>
      </c>
      <c r="J459" s="57" t="s">
        <v>1180</v>
      </c>
      <c r="K459" s="57" t="s">
        <v>267</v>
      </c>
      <c r="L459" s="58" t="s">
        <v>307</v>
      </c>
      <c r="M459" s="59">
        <v>46484</v>
      </c>
      <c r="N459" s="60">
        <v>46516</v>
      </c>
    </row>
    <row r="460" spans="2:14" hidden="1" x14ac:dyDescent="0.3">
      <c r="B460" s="56" t="s">
        <v>263</v>
      </c>
      <c r="C460" s="57" t="s">
        <v>883</v>
      </c>
      <c r="D460" s="57" t="s">
        <v>290</v>
      </c>
      <c r="E460" s="57" t="s">
        <v>710</v>
      </c>
      <c r="F460" s="57" t="s">
        <v>1014</v>
      </c>
      <c r="G460" t="s">
        <v>1027</v>
      </c>
      <c r="H460" t="s">
        <v>1027</v>
      </c>
      <c r="I460" s="57" t="s">
        <v>1176</v>
      </c>
      <c r="J460" s="57" t="s">
        <v>1181</v>
      </c>
      <c r="K460" s="57" t="s">
        <v>267</v>
      </c>
      <c r="L460" s="58" t="s">
        <v>307</v>
      </c>
      <c r="M460" s="59">
        <v>46587</v>
      </c>
      <c r="N460" s="60">
        <v>46618</v>
      </c>
    </row>
    <row r="461" spans="2:14" hidden="1" x14ac:dyDescent="0.3">
      <c r="B461" s="56" t="s">
        <v>263</v>
      </c>
      <c r="C461" s="57" t="s">
        <v>883</v>
      </c>
      <c r="D461" s="57" t="s">
        <v>290</v>
      </c>
      <c r="E461" s="57" t="s">
        <v>710</v>
      </c>
      <c r="F461" s="57" t="s">
        <v>1014</v>
      </c>
      <c r="G461" t="s">
        <v>1033</v>
      </c>
      <c r="H461" t="s">
        <v>1033</v>
      </c>
      <c r="I461" s="57" t="s">
        <v>1176</v>
      </c>
      <c r="J461" s="57" t="s">
        <v>1182</v>
      </c>
      <c r="K461" s="57" t="s">
        <v>267</v>
      </c>
      <c r="L461" s="58" t="s">
        <v>307</v>
      </c>
      <c r="M461" s="59">
        <v>46620</v>
      </c>
      <c r="N461" s="60">
        <v>46651</v>
      </c>
    </row>
    <row r="462" spans="2:14" hidden="1" x14ac:dyDescent="0.3">
      <c r="B462" s="56" t="s">
        <v>263</v>
      </c>
      <c r="C462" s="57" t="s">
        <v>883</v>
      </c>
      <c r="D462" s="57" t="s">
        <v>290</v>
      </c>
      <c r="E462" s="57" t="s">
        <v>710</v>
      </c>
      <c r="F462" s="57" t="s">
        <v>1036</v>
      </c>
      <c r="G462" t="s">
        <v>1056</v>
      </c>
      <c r="H462" t="s">
        <v>1056</v>
      </c>
      <c r="I462" s="57" t="s">
        <v>1183</v>
      </c>
      <c r="J462" s="57" t="s">
        <v>1184</v>
      </c>
      <c r="K462" s="57" t="s">
        <v>267</v>
      </c>
      <c r="L462" s="58" t="s">
        <v>311</v>
      </c>
      <c r="M462" s="59">
        <v>46666</v>
      </c>
      <c r="N462" s="60">
        <v>46690</v>
      </c>
    </row>
    <row r="463" spans="2:14" hidden="1" x14ac:dyDescent="0.3">
      <c r="B463" s="56" t="s">
        <v>263</v>
      </c>
      <c r="C463" s="57" t="s">
        <v>883</v>
      </c>
      <c r="D463" s="57" t="s">
        <v>290</v>
      </c>
      <c r="E463" s="57" t="s">
        <v>710</v>
      </c>
      <c r="F463" s="57" t="s">
        <v>1036</v>
      </c>
      <c r="G463" t="s">
        <v>1056</v>
      </c>
      <c r="H463" t="s">
        <v>1144</v>
      </c>
      <c r="I463" s="57" t="s">
        <v>1183</v>
      </c>
      <c r="J463" s="57" t="s">
        <v>1185</v>
      </c>
      <c r="K463" s="57" t="s">
        <v>267</v>
      </c>
      <c r="L463" s="58" t="s">
        <v>311</v>
      </c>
      <c r="M463" s="59">
        <v>46666</v>
      </c>
      <c r="N463" s="60">
        <v>46690</v>
      </c>
    </row>
    <row r="464" spans="2:14" hidden="1" x14ac:dyDescent="0.3">
      <c r="B464" s="56" t="s">
        <v>263</v>
      </c>
      <c r="C464" s="57" t="s">
        <v>883</v>
      </c>
      <c r="D464" s="57" t="s">
        <v>290</v>
      </c>
      <c r="E464" s="57" t="s">
        <v>710</v>
      </c>
      <c r="F464" s="57" t="s">
        <v>1036</v>
      </c>
      <c r="G464" t="s">
        <v>1048</v>
      </c>
      <c r="H464" t="s">
        <v>1048</v>
      </c>
      <c r="I464" s="57" t="s">
        <v>1183</v>
      </c>
      <c r="J464" s="57" t="s">
        <v>1186</v>
      </c>
      <c r="K464" s="57" t="s">
        <v>267</v>
      </c>
      <c r="L464" s="58" t="s">
        <v>307</v>
      </c>
      <c r="M464" s="59">
        <v>46554</v>
      </c>
      <c r="N464" s="60">
        <v>46586</v>
      </c>
    </row>
    <row r="465" spans="2:14" hidden="1" x14ac:dyDescent="0.3">
      <c r="B465" s="56" t="s">
        <v>263</v>
      </c>
      <c r="C465" s="57" t="s">
        <v>883</v>
      </c>
      <c r="D465" s="57" t="s">
        <v>290</v>
      </c>
      <c r="E465" s="57" t="s">
        <v>727</v>
      </c>
      <c r="F465" s="57" t="s">
        <v>884</v>
      </c>
      <c r="G465" t="s">
        <v>728</v>
      </c>
      <c r="H465" t="s">
        <v>885</v>
      </c>
      <c r="I465" s="57" t="s">
        <v>1187</v>
      </c>
      <c r="J465" s="57" t="s">
        <v>1188</v>
      </c>
      <c r="K465" s="57" t="s">
        <v>267</v>
      </c>
      <c r="L465" s="58" t="s">
        <v>307</v>
      </c>
      <c r="M465" s="59">
        <v>46039</v>
      </c>
      <c r="N465" s="60">
        <v>46070</v>
      </c>
    </row>
    <row r="466" spans="2:14" hidden="1" x14ac:dyDescent="0.3">
      <c r="B466" s="56" t="s">
        <v>263</v>
      </c>
      <c r="C466" s="57" t="s">
        <v>883</v>
      </c>
      <c r="D466" s="57" t="s">
        <v>290</v>
      </c>
      <c r="E466" s="57" t="s">
        <v>727</v>
      </c>
      <c r="F466" s="57" t="s">
        <v>884</v>
      </c>
      <c r="G466" t="s">
        <v>728</v>
      </c>
      <c r="H466" t="s">
        <v>888</v>
      </c>
      <c r="I466" s="57" t="s">
        <v>1187</v>
      </c>
      <c r="J466" s="57" t="s">
        <v>1189</v>
      </c>
      <c r="K466" s="57" t="s">
        <v>267</v>
      </c>
      <c r="L466" s="58" t="s">
        <v>307</v>
      </c>
      <c r="M466" s="59">
        <v>46039</v>
      </c>
      <c r="N466" s="60">
        <v>46070</v>
      </c>
    </row>
    <row r="467" spans="2:14" hidden="1" x14ac:dyDescent="0.3">
      <c r="B467" s="56" t="s">
        <v>263</v>
      </c>
      <c r="C467" s="57" t="s">
        <v>883</v>
      </c>
      <c r="D467" s="57" t="s">
        <v>290</v>
      </c>
      <c r="E467" s="57" t="s">
        <v>727</v>
      </c>
      <c r="F467" s="57" t="s">
        <v>884</v>
      </c>
      <c r="G467" t="s">
        <v>734</v>
      </c>
      <c r="H467" t="s">
        <v>888</v>
      </c>
      <c r="I467" s="57" t="s">
        <v>1187</v>
      </c>
      <c r="J467" s="57" t="s">
        <v>1190</v>
      </c>
      <c r="K467" s="57" t="s">
        <v>267</v>
      </c>
      <c r="L467" s="58" t="s">
        <v>307</v>
      </c>
      <c r="M467" s="59">
        <v>46324</v>
      </c>
      <c r="N467" s="60">
        <v>46356</v>
      </c>
    </row>
    <row r="468" spans="2:14" hidden="1" x14ac:dyDescent="0.3">
      <c r="B468" s="56" t="s">
        <v>263</v>
      </c>
      <c r="C468" s="57" t="s">
        <v>883</v>
      </c>
      <c r="D468" s="57" t="s">
        <v>290</v>
      </c>
      <c r="E468" s="57" t="s">
        <v>727</v>
      </c>
      <c r="F468" s="57" t="s">
        <v>884</v>
      </c>
      <c r="G468" t="s">
        <v>734</v>
      </c>
      <c r="H468" t="s">
        <v>885</v>
      </c>
      <c r="I468" s="57" t="s">
        <v>1187</v>
      </c>
      <c r="J468" s="57" t="s">
        <v>1191</v>
      </c>
      <c r="K468" s="57" t="s">
        <v>267</v>
      </c>
      <c r="L468" s="58" t="s">
        <v>307</v>
      </c>
      <c r="M468" s="59">
        <v>46357</v>
      </c>
      <c r="N468" s="60">
        <v>46389</v>
      </c>
    </row>
    <row r="469" spans="2:14" hidden="1" x14ac:dyDescent="0.3">
      <c r="B469" s="56" t="s">
        <v>263</v>
      </c>
      <c r="C469" s="57" t="s">
        <v>883</v>
      </c>
      <c r="D469" s="57" t="s">
        <v>290</v>
      </c>
      <c r="E469" s="57" t="s">
        <v>727</v>
      </c>
      <c r="F469" s="57" t="s">
        <v>923</v>
      </c>
      <c r="G469" t="s">
        <v>728</v>
      </c>
      <c r="H469" t="s">
        <v>924</v>
      </c>
      <c r="I469" s="57" t="s">
        <v>1192</v>
      </c>
      <c r="J469" s="57" t="s">
        <v>1193</v>
      </c>
      <c r="K469" s="57" t="s">
        <v>267</v>
      </c>
      <c r="L469" s="58" t="s">
        <v>307</v>
      </c>
      <c r="M469" s="59">
        <v>46211</v>
      </c>
      <c r="N469" s="60">
        <v>46243</v>
      </c>
    </row>
    <row r="470" spans="2:14" hidden="1" x14ac:dyDescent="0.3">
      <c r="B470" s="56" t="s">
        <v>263</v>
      </c>
      <c r="C470" s="57" t="s">
        <v>883</v>
      </c>
      <c r="D470" s="57" t="s">
        <v>290</v>
      </c>
      <c r="E470" s="57" t="s">
        <v>727</v>
      </c>
      <c r="F470" s="57" t="s">
        <v>923</v>
      </c>
      <c r="G470" t="s">
        <v>728</v>
      </c>
      <c r="H470" t="s">
        <v>927</v>
      </c>
      <c r="I470" s="57" t="s">
        <v>1192</v>
      </c>
      <c r="J470" s="57" t="s">
        <v>1194</v>
      </c>
      <c r="K470" s="57" t="s">
        <v>267</v>
      </c>
      <c r="L470" s="58" t="s">
        <v>307</v>
      </c>
      <c r="M470" s="59">
        <v>46211</v>
      </c>
      <c r="N470" s="60">
        <v>46243</v>
      </c>
    </row>
    <row r="471" spans="2:14" hidden="1" x14ac:dyDescent="0.3">
      <c r="B471" s="56" t="s">
        <v>263</v>
      </c>
      <c r="C471" s="57" t="s">
        <v>883</v>
      </c>
      <c r="D471" s="57" t="s">
        <v>290</v>
      </c>
      <c r="E471" s="57" t="s">
        <v>727</v>
      </c>
      <c r="F471" s="57" t="s">
        <v>923</v>
      </c>
      <c r="G471" t="s">
        <v>728</v>
      </c>
      <c r="H471" t="s">
        <v>929</v>
      </c>
      <c r="I471" s="57" t="s">
        <v>1192</v>
      </c>
      <c r="J471" s="57" t="s">
        <v>1195</v>
      </c>
      <c r="K471" s="57" t="s">
        <v>267</v>
      </c>
      <c r="L471" s="58" t="s">
        <v>307</v>
      </c>
      <c r="M471" s="59">
        <v>46211</v>
      </c>
      <c r="N471" s="60">
        <v>46243</v>
      </c>
    </row>
    <row r="472" spans="2:14" hidden="1" x14ac:dyDescent="0.3">
      <c r="B472" s="56" t="s">
        <v>263</v>
      </c>
      <c r="C472" s="57" t="s">
        <v>883</v>
      </c>
      <c r="D472" s="57" t="s">
        <v>290</v>
      </c>
      <c r="E472" s="57" t="s">
        <v>727</v>
      </c>
      <c r="F472" s="57" t="s">
        <v>923</v>
      </c>
      <c r="G472" t="s">
        <v>728</v>
      </c>
      <c r="H472" t="s">
        <v>931</v>
      </c>
      <c r="I472" s="57" t="s">
        <v>1192</v>
      </c>
      <c r="J472" s="57" t="s">
        <v>1196</v>
      </c>
      <c r="K472" s="57" t="s">
        <v>267</v>
      </c>
      <c r="L472" s="58" t="s">
        <v>307</v>
      </c>
      <c r="M472" s="59">
        <v>46121</v>
      </c>
      <c r="N472" s="60">
        <v>46153</v>
      </c>
    </row>
    <row r="473" spans="2:14" hidden="1" x14ac:dyDescent="0.3">
      <c r="B473" s="56" t="s">
        <v>263</v>
      </c>
      <c r="C473" s="57" t="s">
        <v>883</v>
      </c>
      <c r="D473" s="57" t="s">
        <v>290</v>
      </c>
      <c r="E473" s="57" t="s">
        <v>727</v>
      </c>
      <c r="F473" s="57" t="s">
        <v>923</v>
      </c>
      <c r="G473" t="s">
        <v>728</v>
      </c>
      <c r="H473" t="s">
        <v>933</v>
      </c>
      <c r="I473" s="57" t="s">
        <v>1192</v>
      </c>
      <c r="J473" s="57" t="s">
        <v>1197</v>
      </c>
      <c r="K473" s="57" t="s">
        <v>267</v>
      </c>
      <c r="L473" s="58" t="s">
        <v>307</v>
      </c>
      <c r="M473" s="59">
        <v>46211</v>
      </c>
      <c r="N473" s="60">
        <v>46243</v>
      </c>
    </row>
    <row r="474" spans="2:14" hidden="1" x14ac:dyDescent="0.3">
      <c r="B474" s="56" t="s">
        <v>263</v>
      </c>
      <c r="C474" s="57" t="s">
        <v>883</v>
      </c>
      <c r="D474" s="57" t="s">
        <v>290</v>
      </c>
      <c r="E474" s="57" t="s">
        <v>727</v>
      </c>
      <c r="F474" s="57" t="s">
        <v>923</v>
      </c>
      <c r="G474" t="s">
        <v>734</v>
      </c>
      <c r="H474" t="s">
        <v>924</v>
      </c>
      <c r="I474" s="57" t="s">
        <v>1192</v>
      </c>
      <c r="J474" s="57" t="s">
        <v>1198</v>
      </c>
      <c r="K474" s="57" t="s">
        <v>267</v>
      </c>
      <c r="L474" s="58" t="s">
        <v>307</v>
      </c>
      <c r="M474" s="59">
        <v>46376</v>
      </c>
      <c r="N474" s="60">
        <v>46407</v>
      </c>
    </row>
    <row r="475" spans="2:14" hidden="1" x14ac:dyDescent="0.3">
      <c r="B475" s="56" t="s">
        <v>263</v>
      </c>
      <c r="C475" s="57" t="s">
        <v>883</v>
      </c>
      <c r="D475" s="57" t="s">
        <v>290</v>
      </c>
      <c r="E475" s="57" t="s">
        <v>727</v>
      </c>
      <c r="F475" s="57" t="s">
        <v>923</v>
      </c>
      <c r="G475" t="s">
        <v>734</v>
      </c>
      <c r="H475" t="s">
        <v>927</v>
      </c>
      <c r="I475" s="57" t="s">
        <v>1192</v>
      </c>
      <c r="J475" s="57" t="s">
        <v>1199</v>
      </c>
      <c r="K475" s="57" t="s">
        <v>267</v>
      </c>
      <c r="L475" s="58" t="s">
        <v>307</v>
      </c>
      <c r="M475" s="59">
        <v>46376</v>
      </c>
      <c r="N475" s="60">
        <v>46407</v>
      </c>
    </row>
    <row r="476" spans="2:14" hidden="1" x14ac:dyDescent="0.3">
      <c r="B476" s="56" t="s">
        <v>263</v>
      </c>
      <c r="C476" s="57" t="s">
        <v>883</v>
      </c>
      <c r="D476" s="57" t="s">
        <v>290</v>
      </c>
      <c r="E476" s="57" t="s">
        <v>727</v>
      </c>
      <c r="F476" s="57" t="s">
        <v>923</v>
      </c>
      <c r="G476" t="s">
        <v>734</v>
      </c>
      <c r="H476" t="s">
        <v>929</v>
      </c>
      <c r="I476" s="57" t="s">
        <v>1192</v>
      </c>
      <c r="J476" s="57" t="s">
        <v>1200</v>
      </c>
      <c r="K476" s="57" t="s">
        <v>267</v>
      </c>
      <c r="L476" s="58" t="s">
        <v>307</v>
      </c>
      <c r="M476" s="59">
        <v>46376</v>
      </c>
      <c r="N476" s="60">
        <v>46407</v>
      </c>
    </row>
    <row r="477" spans="2:14" hidden="1" x14ac:dyDescent="0.3">
      <c r="B477" s="56" t="s">
        <v>263</v>
      </c>
      <c r="C477" s="57" t="s">
        <v>883</v>
      </c>
      <c r="D477" s="57" t="s">
        <v>290</v>
      </c>
      <c r="E477" s="57" t="s">
        <v>727</v>
      </c>
      <c r="F477" s="57" t="s">
        <v>923</v>
      </c>
      <c r="G477" t="s">
        <v>734</v>
      </c>
      <c r="H477" t="s">
        <v>931</v>
      </c>
      <c r="I477" s="57" t="s">
        <v>1192</v>
      </c>
      <c r="J477" s="57" t="s">
        <v>1201</v>
      </c>
      <c r="K477" s="57" t="s">
        <v>267</v>
      </c>
      <c r="L477" s="58" t="s">
        <v>307</v>
      </c>
      <c r="M477" s="59">
        <v>46376</v>
      </c>
      <c r="N477" s="60">
        <v>46407</v>
      </c>
    </row>
    <row r="478" spans="2:14" hidden="1" x14ac:dyDescent="0.3">
      <c r="B478" s="56" t="s">
        <v>263</v>
      </c>
      <c r="C478" s="57" t="s">
        <v>883</v>
      </c>
      <c r="D478" s="57" t="s">
        <v>290</v>
      </c>
      <c r="E478" s="57" t="s">
        <v>727</v>
      </c>
      <c r="F478" s="57" t="s">
        <v>923</v>
      </c>
      <c r="G478" t="s">
        <v>734</v>
      </c>
      <c r="H478" t="s">
        <v>933</v>
      </c>
      <c r="I478" s="57" t="s">
        <v>1192</v>
      </c>
      <c r="J478" s="57" t="s">
        <v>1202</v>
      </c>
      <c r="K478" s="57" t="s">
        <v>267</v>
      </c>
      <c r="L478" s="58" t="s">
        <v>307</v>
      </c>
      <c r="M478" s="59">
        <v>46376</v>
      </c>
      <c r="N478" s="60">
        <v>46407</v>
      </c>
    </row>
    <row r="479" spans="2:14" hidden="1" x14ac:dyDescent="0.3">
      <c r="B479" s="56" t="s">
        <v>263</v>
      </c>
      <c r="C479" s="57" t="s">
        <v>883</v>
      </c>
      <c r="D479" s="57" t="s">
        <v>290</v>
      </c>
      <c r="E479" s="57" t="s">
        <v>727</v>
      </c>
      <c r="F479" s="57" t="s">
        <v>1001</v>
      </c>
      <c r="G479" t="s">
        <v>924</v>
      </c>
      <c r="H479" t="s">
        <v>924</v>
      </c>
      <c r="I479" s="57" t="s">
        <v>1203</v>
      </c>
      <c r="J479" s="57" t="s">
        <v>1204</v>
      </c>
      <c r="K479" s="57" t="s">
        <v>267</v>
      </c>
      <c r="L479" s="58" t="s">
        <v>307</v>
      </c>
      <c r="M479" s="59">
        <v>46408</v>
      </c>
      <c r="N479" s="60">
        <v>46441</v>
      </c>
    </row>
    <row r="480" spans="2:14" hidden="1" x14ac:dyDescent="0.3">
      <c r="B480" s="56" t="s">
        <v>263</v>
      </c>
      <c r="C480" s="57" t="s">
        <v>883</v>
      </c>
      <c r="D480" s="57" t="s">
        <v>290</v>
      </c>
      <c r="E480" s="57" t="s">
        <v>727</v>
      </c>
      <c r="F480" s="57" t="s">
        <v>1001</v>
      </c>
      <c r="G480" t="s">
        <v>1005</v>
      </c>
      <c r="H480" t="s">
        <v>1005</v>
      </c>
      <c r="I480" s="57" t="s">
        <v>1203</v>
      </c>
      <c r="J480" s="57" t="s">
        <v>1205</v>
      </c>
      <c r="K480" s="57" t="s">
        <v>267</v>
      </c>
      <c r="L480" s="58" t="s">
        <v>307</v>
      </c>
      <c r="M480" s="59">
        <v>46442</v>
      </c>
      <c r="N480" s="60">
        <v>46476</v>
      </c>
    </row>
    <row r="481" spans="2:14" hidden="1" x14ac:dyDescent="0.3">
      <c r="B481" s="56" t="s">
        <v>263</v>
      </c>
      <c r="C481" s="57" t="s">
        <v>883</v>
      </c>
      <c r="D481" s="57" t="s">
        <v>290</v>
      </c>
      <c r="E481" s="57" t="s">
        <v>727</v>
      </c>
      <c r="F481" s="57" t="s">
        <v>1001</v>
      </c>
      <c r="G481" t="s">
        <v>1008</v>
      </c>
      <c r="H481" t="s">
        <v>1008</v>
      </c>
      <c r="I481" s="57" t="s">
        <v>1203</v>
      </c>
      <c r="J481" s="57" t="s">
        <v>1206</v>
      </c>
      <c r="K481" s="57" t="s">
        <v>267</v>
      </c>
      <c r="L481" s="58" t="s">
        <v>307</v>
      </c>
      <c r="M481" s="59">
        <v>46477</v>
      </c>
      <c r="N481" s="60">
        <v>46509</v>
      </c>
    </row>
    <row r="482" spans="2:14" hidden="1" x14ac:dyDescent="0.3">
      <c r="B482" s="56" t="s">
        <v>263</v>
      </c>
      <c r="C482" s="57" t="s">
        <v>883</v>
      </c>
      <c r="D482" s="57" t="s">
        <v>290</v>
      </c>
      <c r="E482" s="57" t="s">
        <v>727</v>
      </c>
      <c r="F482" s="57" t="s">
        <v>1001</v>
      </c>
      <c r="G482" t="s">
        <v>1011</v>
      </c>
      <c r="H482" t="s">
        <v>1011</v>
      </c>
      <c r="I482" s="57" t="s">
        <v>1203</v>
      </c>
      <c r="J482" s="57" t="s">
        <v>1207</v>
      </c>
      <c r="K482" s="57" t="s">
        <v>267</v>
      </c>
      <c r="L482" s="58" t="s">
        <v>307</v>
      </c>
      <c r="M482" s="59">
        <v>46510</v>
      </c>
      <c r="N482" s="60">
        <v>46546</v>
      </c>
    </row>
    <row r="483" spans="2:14" hidden="1" x14ac:dyDescent="0.3">
      <c r="B483" s="56" t="s">
        <v>263</v>
      </c>
      <c r="C483" s="57" t="s">
        <v>883</v>
      </c>
      <c r="D483" s="57" t="s">
        <v>290</v>
      </c>
      <c r="E483" s="57" t="s">
        <v>727</v>
      </c>
      <c r="F483" s="57" t="s">
        <v>1014</v>
      </c>
      <c r="G483" t="s">
        <v>1015</v>
      </c>
      <c r="H483" t="s">
        <v>1015</v>
      </c>
      <c r="I483" s="57" t="s">
        <v>1208</v>
      </c>
      <c r="J483" s="57" t="s">
        <v>1209</v>
      </c>
      <c r="K483" s="57" t="s">
        <v>267</v>
      </c>
      <c r="L483" s="58" t="s">
        <v>307</v>
      </c>
      <c r="M483" s="59">
        <v>46477</v>
      </c>
      <c r="N483" s="60">
        <v>46509</v>
      </c>
    </row>
    <row r="484" spans="2:14" hidden="1" x14ac:dyDescent="0.3">
      <c r="B484" s="56" t="s">
        <v>263</v>
      </c>
      <c r="C484" s="57" t="s">
        <v>883</v>
      </c>
      <c r="D484" s="57" t="s">
        <v>290</v>
      </c>
      <c r="E484" s="57" t="s">
        <v>727</v>
      </c>
      <c r="F484" s="57" t="s">
        <v>1014</v>
      </c>
      <c r="G484" t="s">
        <v>1018</v>
      </c>
      <c r="H484" t="s">
        <v>1018</v>
      </c>
      <c r="I484" s="57" t="s">
        <v>1208</v>
      </c>
      <c r="J484" s="57" t="s">
        <v>1210</v>
      </c>
      <c r="K484" s="57" t="s">
        <v>267</v>
      </c>
      <c r="L484" s="58" t="s">
        <v>307</v>
      </c>
      <c r="M484" s="59">
        <v>46547</v>
      </c>
      <c r="N484" s="60">
        <v>46579</v>
      </c>
    </row>
    <row r="485" spans="2:14" hidden="1" x14ac:dyDescent="0.3">
      <c r="B485" s="56" t="s">
        <v>263</v>
      </c>
      <c r="C485" s="57" t="s">
        <v>883</v>
      </c>
      <c r="D485" s="57" t="s">
        <v>290</v>
      </c>
      <c r="E485" s="57" t="s">
        <v>727</v>
      </c>
      <c r="F485" s="57" t="s">
        <v>1014</v>
      </c>
      <c r="G485" t="s">
        <v>1021</v>
      </c>
      <c r="H485" t="s">
        <v>1021</v>
      </c>
      <c r="I485" s="57" t="s">
        <v>1208</v>
      </c>
      <c r="J485" s="57" t="s">
        <v>1211</v>
      </c>
      <c r="K485" s="57" t="s">
        <v>267</v>
      </c>
      <c r="L485" s="58" t="s">
        <v>307</v>
      </c>
      <c r="M485" s="59">
        <v>46580</v>
      </c>
      <c r="N485" s="60">
        <v>46611</v>
      </c>
    </row>
    <row r="486" spans="2:14" hidden="1" x14ac:dyDescent="0.3">
      <c r="B486" s="56" t="s">
        <v>263</v>
      </c>
      <c r="C486" s="57" t="s">
        <v>883</v>
      </c>
      <c r="D486" s="57" t="s">
        <v>290</v>
      </c>
      <c r="E486" s="57" t="s">
        <v>727</v>
      </c>
      <c r="F486" s="57" t="s">
        <v>1014</v>
      </c>
      <c r="G486" t="s">
        <v>1024</v>
      </c>
      <c r="H486" t="s">
        <v>1024</v>
      </c>
      <c r="I486" s="57" t="s">
        <v>1208</v>
      </c>
      <c r="J486" s="57" t="s">
        <v>1212</v>
      </c>
      <c r="K486" s="57" t="s">
        <v>267</v>
      </c>
      <c r="L486" s="58" t="s">
        <v>307</v>
      </c>
      <c r="M486" s="59">
        <v>46442</v>
      </c>
      <c r="N486" s="60">
        <v>46476</v>
      </c>
    </row>
    <row r="487" spans="2:14" hidden="1" x14ac:dyDescent="0.3">
      <c r="B487" s="56" t="s">
        <v>263</v>
      </c>
      <c r="C487" s="57" t="s">
        <v>883</v>
      </c>
      <c r="D487" s="57" t="s">
        <v>290</v>
      </c>
      <c r="E487" s="57" t="s">
        <v>727</v>
      </c>
      <c r="F487" s="57" t="s">
        <v>1014</v>
      </c>
      <c r="G487" t="s">
        <v>1027</v>
      </c>
      <c r="H487" t="s">
        <v>1027</v>
      </c>
      <c r="I487" s="57" t="s">
        <v>1208</v>
      </c>
      <c r="J487" s="57" t="s">
        <v>1213</v>
      </c>
      <c r="K487" s="57" t="s">
        <v>267</v>
      </c>
      <c r="L487" s="58" t="s">
        <v>307</v>
      </c>
      <c r="M487" s="59">
        <v>46547</v>
      </c>
      <c r="N487" s="60">
        <v>46579</v>
      </c>
    </row>
    <row r="488" spans="2:14" hidden="1" x14ac:dyDescent="0.3">
      <c r="B488" s="56" t="s">
        <v>263</v>
      </c>
      <c r="C488" s="57" t="s">
        <v>883</v>
      </c>
      <c r="D488" s="57" t="s">
        <v>290</v>
      </c>
      <c r="E488" s="57" t="s">
        <v>727</v>
      </c>
      <c r="F488" s="57" t="s">
        <v>1014</v>
      </c>
      <c r="G488" t="s">
        <v>1033</v>
      </c>
      <c r="H488" t="s">
        <v>1033</v>
      </c>
      <c r="I488" s="57" t="s">
        <v>1208</v>
      </c>
      <c r="J488" s="57" t="s">
        <v>1214</v>
      </c>
      <c r="K488" s="57" t="s">
        <v>267</v>
      </c>
      <c r="L488" s="58" t="s">
        <v>307</v>
      </c>
      <c r="M488" s="59">
        <v>46580</v>
      </c>
      <c r="N488" s="60">
        <v>46611</v>
      </c>
    </row>
    <row r="489" spans="2:14" hidden="1" x14ac:dyDescent="0.3">
      <c r="B489" s="56" t="s">
        <v>263</v>
      </c>
      <c r="C489" s="57" t="s">
        <v>883</v>
      </c>
      <c r="D489" s="57" t="s">
        <v>290</v>
      </c>
      <c r="E489" s="57" t="s">
        <v>727</v>
      </c>
      <c r="F489" s="57" t="s">
        <v>1036</v>
      </c>
      <c r="G489" t="s">
        <v>1056</v>
      </c>
      <c r="H489" t="s">
        <v>1056</v>
      </c>
      <c r="I489" s="57" t="s">
        <v>1215</v>
      </c>
      <c r="J489" s="57" t="s">
        <v>1216</v>
      </c>
      <c r="K489" s="57" t="s">
        <v>267</v>
      </c>
      <c r="L489" s="58" t="s">
        <v>311</v>
      </c>
      <c r="M489" s="59">
        <v>46627</v>
      </c>
      <c r="N489" s="60">
        <v>46650</v>
      </c>
    </row>
    <row r="490" spans="2:14" hidden="1" x14ac:dyDescent="0.3">
      <c r="B490" s="56" t="s">
        <v>263</v>
      </c>
      <c r="C490" s="57" t="s">
        <v>883</v>
      </c>
      <c r="D490" s="57" t="s">
        <v>290</v>
      </c>
      <c r="E490" s="57" t="s">
        <v>727</v>
      </c>
      <c r="F490" s="57" t="s">
        <v>1036</v>
      </c>
      <c r="G490" t="s">
        <v>1056</v>
      </c>
      <c r="H490" t="s">
        <v>1144</v>
      </c>
      <c r="I490" s="57" t="s">
        <v>1215</v>
      </c>
      <c r="J490" s="57" t="s">
        <v>1217</v>
      </c>
      <c r="K490" s="57" t="s">
        <v>267</v>
      </c>
      <c r="L490" s="58" t="s">
        <v>311</v>
      </c>
      <c r="M490" s="59">
        <v>46651</v>
      </c>
      <c r="N490" s="60">
        <v>46676</v>
      </c>
    </row>
    <row r="491" spans="2:14" hidden="1" x14ac:dyDescent="0.3">
      <c r="B491" s="56" t="s">
        <v>263</v>
      </c>
      <c r="C491" s="57" t="s">
        <v>883</v>
      </c>
      <c r="D491" s="57" t="s">
        <v>290</v>
      </c>
      <c r="E491" s="57" t="s">
        <v>727</v>
      </c>
      <c r="F491" s="57" t="s">
        <v>1036</v>
      </c>
      <c r="G491" t="s">
        <v>1048</v>
      </c>
      <c r="H491" t="s">
        <v>1048</v>
      </c>
      <c r="I491" s="57" t="s">
        <v>1215</v>
      </c>
      <c r="J491" s="57" t="s">
        <v>1218</v>
      </c>
      <c r="K491" s="57" t="s">
        <v>267</v>
      </c>
      <c r="L491" s="58" t="s">
        <v>307</v>
      </c>
      <c r="M491" s="59">
        <v>46677</v>
      </c>
      <c r="N491" s="60">
        <v>46708</v>
      </c>
    </row>
    <row r="492" spans="2:14" hidden="1" x14ac:dyDescent="0.3">
      <c r="B492" s="56" t="s">
        <v>263</v>
      </c>
      <c r="C492" s="57" t="s">
        <v>883</v>
      </c>
      <c r="D492" s="57" t="s">
        <v>290</v>
      </c>
      <c r="E492" s="57" t="s">
        <v>739</v>
      </c>
      <c r="F492" s="57" t="s">
        <v>884</v>
      </c>
      <c r="G492" t="s">
        <v>1219</v>
      </c>
      <c r="H492" t="s">
        <v>885</v>
      </c>
      <c r="I492" s="57" t="s">
        <v>1220</v>
      </c>
      <c r="J492" s="57" t="s">
        <v>1221</v>
      </c>
      <c r="K492" s="57" t="s">
        <v>267</v>
      </c>
      <c r="L492" s="58" t="s">
        <v>307</v>
      </c>
      <c r="M492" s="59">
        <v>46039</v>
      </c>
      <c r="N492" s="60">
        <v>46070</v>
      </c>
    </row>
    <row r="493" spans="2:14" hidden="1" x14ac:dyDescent="0.3">
      <c r="B493" s="56" t="s">
        <v>263</v>
      </c>
      <c r="C493" s="57" t="s">
        <v>883</v>
      </c>
      <c r="D493" s="57" t="s">
        <v>290</v>
      </c>
      <c r="E493" s="57" t="s">
        <v>739</v>
      </c>
      <c r="F493" s="57" t="s">
        <v>884</v>
      </c>
      <c r="G493" t="s">
        <v>1219</v>
      </c>
      <c r="H493" t="s">
        <v>888</v>
      </c>
      <c r="I493" s="57" t="s">
        <v>1220</v>
      </c>
      <c r="J493" s="57" t="s">
        <v>1222</v>
      </c>
      <c r="K493" s="57" t="s">
        <v>267</v>
      </c>
      <c r="L493" s="58" t="s">
        <v>307</v>
      </c>
      <c r="M493" s="59">
        <v>46039</v>
      </c>
      <c r="N493" s="60">
        <v>46070</v>
      </c>
    </row>
    <row r="494" spans="2:14" hidden="1" x14ac:dyDescent="0.3">
      <c r="B494" s="56" t="s">
        <v>263</v>
      </c>
      <c r="C494" s="57" t="s">
        <v>883</v>
      </c>
      <c r="D494" s="57" t="s">
        <v>290</v>
      </c>
      <c r="E494" s="57" t="s">
        <v>739</v>
      </c>
      <c r="F494" s="57" t="s">
        <v>884</v>
      </c>
      <c r="G494" t="s">
        <v>746</v>
      </c>
      <c r="H494" t="s">
        <v>885</v>
      </c>
      <c r="I494" s="57" t="s">
        <v>1220</v>
      </c>
      <c r="J494" s="57" t="s">
        <v>1223</v>
      </c>
      <c r="K494" s="57" t="s">
        <v>267</v>
      </c>
      <c r="L494" s="58" t="s">
        <v>307</v>
      </c>
      <c r="M494" s="59">
        <v>46156</v>
      </c>
      <c r="N494" s="60">
        <v>46191</v>
      </c>
    </row>
    <row r="495" spans="2:14" hidden="1" x14ac:dyDescent="0.3">
      <c r="B495" s="56" t="s">
        <v>263</v>
      </c>
      <c r="C495" s="57" t="s">
        <v>883</v>
      </c>
      <c r="D495" s="57" t="s">
        <v>290</v>
      </c>
      <c r="E495" s="57" t="s">
        <v>739</v>
      </c>
      <c r="F495" s="57" t="s">
        <v>884</v>
      </c>
      <c r="G495" t="s">
        <v>746</v>
      </c>
      <c r="H495" t="s">
        <v>888</v>
      </c>
      <c r="I495" s="57" t="s">
        <v>1220</v>
      </c>
      <c r="J495" s="57" t="s">
        <v>1224</v>
      </c>
      <c r="K495" s="57" t="s">
        <v>267</v>
      </c>
      <c r="L495" s="58" t="s">
        <v>307</v>
      </c>
      <c r="M495" s="59">
        <v>46156</v>
      </c>
      <c r="N495" s="60">
        <v>46191</v>
      </c>
    </row>
    <row r="496" spans="2:14" hidden="1" x14ac:dyDescent="0.3">
      <c r="B496" s="56" t="s">
        <v>263</v>
      </c>
      <c r="C496" s="57" t="s">
        <v>883</v>
      </c>
      <c r="D496" s="57" t="s">
        <v>290</v>
      </c>
      <c r="E496" s="57" t="s">
        <v>739</v>
      </c>
      <c r="F496" s="57" t="s">
        <v>884</v>
      </c>
      <c r="G496" t="s">
        <v>751</v>
      </c>
      <c r="H496" t="s">
        <v>885</v>
      </c>
      <c r="I496" s="57" t="s">
        <v>1220</v>
      </c>
      <c r="J496" s="57" t="s">
        <v>1225</v>
      </c>
      <c r="K496" s="57" t="s">
        <v>267</v>
      </c>
      <c r="L496" s="58" t="s">
        <v>307</v>
      </c>
      <c r="M496" s="59">
        <v>46193</v>
      </c>
      <c r="N496" s="60">
        <v>46224</v>
      </c>
    </row>
    <row r="497" spans="2:14" hidden="1" x14ac:dyDescent="0.3">
      <c r="B497" s="56" t="s">
        <v>263</v>
      </c>
      <c r="C497" s="57" t="s">
        <v>883</v>
      </c>
      <c r="D497" s="57" t="s">
        <v>290</v>
      </c>
      <c r="E497" s="57" t="s">
        <v>739</v>
      </c>
      <c r="F497" s="57" t="s">
        <v>884</v>
      </c>
      <c r="G497" t="s">
        <v>751</v>
      </c>
      <c r="H497" t="s">
        <v>888</v>
      </c>
      <c r="I497" s="57" t="s">
        <v>1220</v>
      </c>
      <c r="J497" s="57" t="s">
        <v>1226</v>
      </c>
      <c r="K497" s="57" t="s">
        <v>267</v>
      </c>
      <c r="L497" s="58" t="s">
        <v>307</v>
      </c>
      <c r="M497" s="59">
        <v>46193</v>
      </c>
      <c r="N497" s="60">
        <v>46224</v>
      </c>
    </row>
    <row r="498" spans="2:14" hidden="1" x14ac:dyDescent="0.3">
      <c r="B498" s="56" t="s">
        <v>263</v>
      </c>
      <c r="C498" s="57" t="s">
        <v>883</v>
      </c>
      <c r="D498" s="57" t="s">
        <v>290</v>
      </c>
      <c r="E498" s="57" t="s">
        <v>739</v>
      </c>
      <c r="F498" s="57" t="s">
        <v>923</v>
      </c>
      <c r="G498" t="s">
        <v>1219</v>
      </c>
      <c r="H498" t="s">
        <v>924</v>
      </c>
      <c r="I498" s="57" t="s">
        <v>1227</v>
      </c>
      <c r="J498" s="57" t="s">
        <v>1228</v>
      </c>
      <c r="K498" s="57" t="s">
        <v>267</v>
      </c>
      <c r="L498" s="58" t="s">
        <v>307</v>
      </c>
      <c r="M498" s="59">
        <v>46223</v>
      </c>
      <c r="N498" s="60">
        <v>46254</v>
      </c>
    </row>
    <row r="499" spans="2:14" hidden="1" x14ac:dyDescent="0.3">
      <c r="B499" s="56" t="s">
        <v>263</v>
      </c>
      <c r="C499" s="57" t="s">
        <v>883</v>
      </c>
      <c r="D499" s="57" t="s">
        <v>290</v>
      </c>
      <c r="E499" s="57" t="s">
        <v>739</v>
      </c>
      <c r="F499" s="57" t="s">
        <v>923</v>
      </c>
      <c r="G499" t="s">
        <v>1219</v>
      </c>
      <c r="H499" t="s">
        <v>927</v>
      </c>
      <c r="I499" s="57" t="s">
        <v>1227</v>
      </c>
      <c r="J499" s="57" t="s">
        <v>1229</v>
      </c>
      <c r="K499" s="57" t="s">
        <v>267</v>
      </c>
      <c r="L499" s="58" t="s">
        <v>307</v>
      </c>
      <c r="M499" s="59">
        <v>46223</v>
      </c>
      <c r="N499" s="60">
        <v>46254</v>
      </c>
    </row>
    <row r="500" spans="2:14" hidden="1" x14ac:dyDescent="0.3">
      <c r="B500" s="56" t="s">
        <v>263</v>
      </c>
      <c r="C500" s="57" t="s">
        <v>883</v>
      </c>
      <c r="D500" s="57" t="s">
        <v>290</v>
      </c>
      <c r="E500" s="57" t="s">
        <v>739</v>
      </c>
      <c r="F500" s="57" t="s">
        <v>923</v>
      </c>
      <c r="G500" t="s">
        <v>1219</v>
      </c>
      <c r="H500" t="s">
        <v>929</v>
      </c>
      <c r="I500" s="57" t="s">
        <v>1227</v>
      </c>
      <c r="J500" s="57" t="s">
        <v>1230</v>
      </c>
      <c r="K500" s="57" t="s">
        <v>267</v>
      </c>
      <c r="L500" s="58" t="s">
        <v>307</v>
      </c>
      <c r="M500" s="59">
        <v>46223</v>
      </c>
      <c r="N500" s="60">
        <v>46254</v>
      </c>
    </row>
    <row r="501" spans="2:14" hidden="1" x14ac:dyDescent="0.3">
      <c r="B501" s="56" t="s">
        <v>263</v>
      </c>
      <c r="C501" s="57" t="s">
        <v>883</v>
      </c>
      <c r="D501" s="57" t="s">
        <v>290</v>
      </c>
      <c r="E501" s="57" t="s">
        <v>739</v>
      </c>
      <c r="F501" s="57" t="s">
        <v>923</v>
      </c>
      <c r="G501" t="s">
        <v>1219</v>
      </c>
      <c r="H501" t="s">
        <v>931</v>
      </c>
      <c r="I501" s="57" t="s">
        <v>1227</v>
      </c>
      <c r="J501" s="57" t="s">
        <v>1231</v>
      </c>
      <c r="K501" s="57" t="s">
        <v>267</v>
      </c>
      <c r="L501" s="58" t="s">
        <v>307</v>
      </c>
      <c r="M501" s="59">
        <v>46133</v>
      </c>
      <c r="N501" s="60">
        <v>46165</v>
      </c>
    </row>
    <row r="502" spans="2:14" hidden="1" x14ac:dyDescent="0.3">
      <c r="B502" s="56" t="s">
        <v>263</v>
      </c>
      <c r="C502" s="57" t="s">
        <v>883</v>
      </c>
      <c r="D502" s="57" t="s">
        <v>290</v>
      </c>
      <c r="E502" s="57" t="s">
        <v>739</v>
      </c>
      <c r="F502" s="57" t="s">
        <v>923</v>
      </c>
      <c r="G502" t="s">
        <v>1219</v>
      </c>
      <c r="H502" t="s">
        <v>933</v>
      </c>
      <c r="I502" s="57" t="s">
        <v>1227</v>
      </c>
      <c r="J502" s="57" t="s">
        <v>1232</v>
      </c>
      <c r="K502" s="57" t="s">
        <v>267</v>
      </c>
      <c r="L502" s="58" t="s">
        <v>307</v>
      </c>
      <c r="M502" s="59">
        <v>46244</v>
      </c>
      <c r="N502" s="60">
        <v>46275</v>
      </c>
    </row>
    <row r="503" spans="2:14" hidden="1" x14ac:dyDescent="0.3">
      <c r="B503" s="56" t="s">
        <v>263</v>
      </c>
      <c r="C503" s="57" t="s">
        <v>883</v>
      </c>
      <c r="D503" s="57" t="s">
        <v>290</v>
      </c>
      <c r="E503" s="57" t="s">
        <v>739</v>
      </c>
      <c r="F503" s="57" t="s">
        <v>923</v>
      </c>
      <c r="G503" t="s">
        <v>746</v>
      </c>
      <c r="H503" t="s">
        <v>924</v>
      </c>
      <c r="I503" s="57" t="s">
        <v>1227</v>
      </c>
      <c r="J503" s="57" t="s">
        <v>1233</v>
      </c>
      <c r="K503" s="57" t="s">
        <v>267</v>
      </c>
      <c r="L503" s="58" t="s">
        <v>307</v>
      </c>
      <c r="M503" s="59">
        <v>46376</v>
      </c>
      <c r="N503" s="60">
        <v>46407</v>
      </c>
    </row>
    <row r="504" spans="2:14" hidden="1" x14ac:dyDescent="0.3">
      <c r="B504" s="56" t="s">
        <v>263</v>
      </c>
      <c r="C504" s="57" t="s">
        <v>883</v>
      </c>
      <c r="D504" s="57" t="s">
        <v>290</v>
      </c>
      <c r="E504" s="57" t="s">
        <v>739</v>
      </c>
      <c r="F504" s="57" t="s">
        <v>923</v>
      </c>
      <c r="G504" t="s">
        <v>746</v>
      </c>
      <c r="H504" t="s">
        <v>927</v>
      </c>
      <c r="I504" s="57" t="s">
        <v>1227</v>
      </c>
      <c r="J504" s="57" t="s">
        <v>1234</v>
      </c>
      <c r="K504" s="57" t="s">
        <v>267</v>
      </c>
      <c r="L504" s="58" t="s">
        <v>307</v>
      </c>
      <c r="M504" s="59">
        <v>46376</v>
      </c>
      <c r="N504" s="60">
        <v>46407</v>
      </c>
    </row>
    <row r="505" spans="2:14" hidden="1" x14ac:dyDescent="0.3">
      <c r="B505" s="56" t="s">
        <v>263</v>
      </c>
      <c r="C505" s="57" t="s">
        <v>883</v>
      </c>
      <c r="D505" s="57" t="s">
        <v>290</v>
      </c>
      <c r="E505" s="57" t="s">
        <v>739</v>
      </c>
      <c r="F505" s="57" t="s">
        <v>923</v>
      </c>
      <c r="G505" t="s">
        <v>746</v>
      </c>
      <c r="H505" t="s">
        <v>929</v>
      </c>
      <c r="I505" s="57" t="s">
        <v>1227</v>
      </c>
      <c r="J505" s="57" t="s">
        <v>1235</v>
      </c>
      <c r="K505" s="57" t="s">
        <v>267</v>
      </c>
      <c r="L505" s="58" t="s">
        <v>307</v>
      </c>
      <c r="M505" s="59">
        <v>46376</v>
      </c>
      <c r="N505" s="60">
        <v>46407</v>
      </c>
    </row>
    <row r="506" spans="2:14" hidden="1" x14ac:dyDescent="0.3">
      <c r="B506" s="56" t="s">
        <v>263</v>
      </c>
      <c r="C506" s="57" t="s">
        <v>883</v>
      </c>
      <c r="D506" s="57" t="s">
        <v>290</v>
      </c>
      <c r="E506" s="57" t="s">
        <v>739</v>
      </c>
      <c r="F506" s="57" t="s">
        <v>923</v>
      </c>
      <c r="G506" t="s">
        <v>746</v>
      </c>
      <c r="H506" t="s">
        <v>931</v>
      </c>
      <c r="I506" s="57" t="s">
        <v>1227</v>
      </c>
      <c r="J506" s="57" t="s">
        <v>1236</v>
      </c>
      <c r="K506" s="57" t="s">
        <v>267</v>
      </c>
      <c r="L506" s="58" t="s">
        <v>307</v>
      </c>
      <c r="M506" s="59">
        <v>46376</v>
      </c>
      <c r="N506" s="60">
        <v>46407</v>
      </c>
    </row>
    <row r="507" spans="2:14" hidden="1" x14ac:dyDescent="0.3">
      <c r="B507" s="56" t="s">
        <v>263</v>
      </c>
      <c r="C507" s="57" t="s">
        <v>883</v>
      </c>
      <c r="D507" s="57" t="s">
        <v>290</v>
      </c>
      <c r="E507" s="57" t="s">
        <v>739</v>
      </c>
      <c r="F507" s="57" t="s">
        <v>923</v>
      </c>
      <c r="G507" t="s">
        <v>746</v>
      </c>
      <c r="H507" t="s">
        <v>933</v>
      </c>
      <c r="I507" s="57" t="s">
        <v>1227</v>
      </c>
      <c r="J507" s="57" t="s">
        <v>1237</v>
      </c>
      <c r="K507" s="57" t="s">
        <v>267</v>
      </c>
      <c r="L507" s="58" t="s">
        <v>307</v>
      </c>
      <c r="M507" s="59">
        <v>46376</v>
      </c>
      <c r="N507" s="60">
        <v>46407</v>
      </c>
    </row>
    <row r="508" spans="2:14" hidden="1" x14ac:dyDescent="0.3">
      <c r="B508" s="56" t="s">
        <v>263</v>
      </c>
      <c r="C508" s="57" t="s">
        <v>883</v>
      </c>
      <c r="D508" s="57" t="s">
        <v>290</v>
      </c>
      <c r="E508" s="57" t="s">
        <v>739</v>
      </c>
      <c r="F508" s="57" t="s">
        <v>923</v>
      </c>
      <c r="G508" t="s">
        <v>751</v>
      </c>
      <c r="H508" t="s">
        <v>924</v>
      </c>
      <c r="I508" s="57" t="s">
        <v>1227</v>
      </c>
      <c r="J508" s="57" t="s">
        <v>1238</v>
      </c>
      <c r="K508" s="57" t="s">
        <v>267</v>
      </c>
      <c r="L508" s="58" t="s">
        <v>307</v>
      </c>
      <c r="M508" s="59">
        <v>46408</v>
      </c>
      <c r="N508" s="60">
        <v>46441</v>
      </c>
    </row>
    <row r="509" spans="2:14" hidden="1" x14ac:dyDescent="0.3">
      <c r="B509" s="56" t="s">
        <v>263</v>
      </c>
      <c r="C509" s="57" t="s">
        <v>883</v>
      </c>
      <c r="D509" s="57" t="s">
        <v>290</v>
      </c>
      <c r="E509" s="57" t="s">
        <v>739</v>
      </c>
      <c r="F509" s="57" t="s">
        <v>923</v>
      </c>
      <c r="G509" t="s">
        <v>751</v>
      </c>
      <c r="H509" t="s">
        <v>927</v>
      </c>
      <c r="I509" s="57" t="s">
        <v>1227</v>
      </c>
      <c r="J509" s="57" t="s">
        <v>1239</v>
      </c>
      <c r="K509" s="57" t="s">
        <v>267</v>
      </c>
      <c r="L509" s="58" t="s">
        <v>307</v>
      </c>
      <c r="M509" s="59">
        <v>46408</v>
      </c>
      <c r="N509" s="60">
        <v>46441</v>
      </c>
    </row>
    <row r="510" spans="2:14" hidden="1" x14ac:dyDescent="0.3">
      <c r="B510" s="56" t="s">
        <v>263</v>
      </c>
      <c r="C510" s="57" t="s">
        <v>883</v>
      </c>
      <c r="D510" s="57" t="s">
        <v>290</v>
      </c>
      <c r="E510" s="57" t="s">
        <v>739</v>
      </c>
      <c r="F510" s="57" t="s">
        <v>923</v>
      </c>
      <c r="G510" t="s">
        <v>751</v>
      </c>
      <c r="H510" t="s">
        <v>929</v>
      </c>
      <c r="I510" s="57" t="s">
        <v>1227</v>
      </c>
      <c r="J510" s="57" t="s">
        <v>1240</v>
      </c>
      <c r="K510" s="57" t="s">
        <v>267</v>
      </c>
      <c r="L510" s="58" t="s">
        <v>307</v>
      </c>
      <c r="M510" s="59">
        <v>46408</v>
      </c>
      <c r="N510" s="60">
        <v>46441</v>
      </c>
    </row>
    <row r="511" spans="2:14" hidden="1" x14ac:dyDescent="0.3">
      <c r="B511" s="56" t="s">
        <v>263</v>
      </c>
      <c r="C511" s="57" t="s">
        <v>883</v>
      </c>
      <c r="D511" s="57" t="s">
        <v>290</v>
      </c>
      <c r="E511" s="57" t="s">
        <v>739</v>
      </c>
      <c r="F511" s="57" t="s">
        <v>923</v>
      </c>
      <c r="G511" t="s">
        <v>751</v>
      </c>
      <c r="H511" t="s">
        <v>931</v>
      </c>
      <c r="I511" s="57" t="s">
        <v>1227</v>
      </c>
      <c r="J511" s="57" t="s">
        <v>1241</v>
      </c>
      <c r="K511" s="57" t="s">
        <v>267</v>
      </c>
      <c r="L511" s="58" t="s">
        <v>307</v>
      </c>
      <c r="M511" s="59">
        <v>46408</v>
      </c>
      <c r="N511" s="60">
        <v>46441</v>
      </c>
    </row>
    <row r="512" spans="2:14" hidden="1" x14ac:dyDescent="0.3">
      <c r="B512" s="56" t="s">
        <v>263</v>
      </c>
      <c r="C512" s="57" t="s">
        <v>883</v>
      </c>
      <c r="D512" s="57" t="s">
        <v>290</v>
      </c>
      <c r="E512" s="57" t="s">
        <v>739</v>
      </c>
      <c r="F512" s="57" t="s">
        <v>923</v>
      </c>
      <c r="G512" t="s">
        <v>751</v>
      </c>
      <c r="H512" t="s">
        <v>933</v>
      </c>
      <c r="I512" s="57" t="s">
        <v>1227</v>
      </c>
      <c r="J512" s="57" t="s">
        <v>1242</v>
      </c>
      <c r="K512" s="57" t="s">
        <v>267</v>
      </c>
      <c r="L512" s="58" t="s">
        <v>307</v>
      </c>
      <c r="M512" s="59">
        <v>46408</v>
      </c>
      <c r="N512" s="60">
        <v>46441</v>
      </c>
    </row>
    <row r="513" spans="2:14" hidden="1" x14ac:dyDescent="0.3">
      <c r="B513" s="56" t="s">
        <v>263</v>
      </c>
      <c r="C513" s="57" t="s">
        <v>883</v>
      </c>
      <c r="D513" s="57" t="s">
        <v>290</v>
      </c>
      <c r="E513" s="57" t="s">
        <v>739</v>
      </c>
      <c r="F513" s="57" t="s">
        <v>1001</v>
      </c>
      <c r="G513" t="s">
        <v>924</v>
      </c>
      <c r="H513" t="s">
        <v>924</v>
      </c>
      <c r="I513" s="57" t="s">
        <v>1243</v>
      </c>
      <c r="J513" s="57" t="s">
        <v>1244</v>
      </c>
      <c r="K513" s="57" t="s">
        <v>267</v>
      </c>
      <c r="L513" s="58" t="s">
        <v>307</v>
      </c>
      <c r="M513" s="59">
        <v>46442</v>
      </c>
      <c r="N513" s="60">
        <v>46476</v>
      </c>
    </row>
    <row r="514" spans="2:14" hidden="1" x14ac:dyDescent="0.3">
      <c r="B514" s="56" t="s">
        <v>263</v>
      </c>
      <c r="C514" s="57" t="s">
        <v>883</v>
      </c>
      <c r="D514" s="57" t="s">
        <v>290</v>
      </c>
      <c r="E514" s="57" t="s">
        <v>739</v>
      </c>
      <c r="F514" s="57" t="s">
        <v>1001</v>
      </c>
      <c r="G514" t="s">
        <v>1005</v>
      </c>
      <c r="H514" t="s">
        <v>1005</v>
      </c>
      <c r="I514" s="57" t="s">
        <v>1243</v>
      </c>
      <c r="J514" s="57" t="s">
        <v>1245</v>
      </c>
      <c r="K514" s="57" t="s">
        <v>267</v>
      </c>
      <c r="L514" s="58" t="s">
        <v>307</v>
      </c>
      <c r="M514" s="59">
        <v>46477</v>
      </c>
      <c r="N514" s="60">
        <v>46509</v>
      </c>
    </row>
    <row r="515" spans="2:14" hidden="1" x14ac:dyDescent="0.3">
      <c r="B515" s="56" t="s">
        <v>263</v>
      </c>
      <c r="C515" s="57" t="s">
        <v>883</v>
      </c>
      <c r="D515" s="57" t="s">
        <v>290</v>
      </c>
      <c r="E515" s="57" t="s">
        <v>739</v>
      </c>
      <c r="F515" s="57" t="s">
        <v>1001</v>
      </c>
      <c r="G515" t="s">
        <v>1008</v>
      </c>
      <c r="H515" t="s">
        <v>1008</v>
      </c>
      <c r="I515" s="57" t="s">
        <v>1243</v>
      </c>
      <c r="J515" s="57" t="s">
        <v>1246</v>
      </c>
      <c r="K515" s="57" t="s">
        <v>267</v>
      </c>
      <c r="L515" s="58" t="s">
        <v>307</v>
      </c>
      <c r="M515" s="59">
        <v>46510</v>
      </c>
      <c r="N515" s="60">
        <v>46546</v>
      </c>
    </row>
    <row r="516" spans="2:14" hidden="1" x14ac:dyDescent="0.3">
      <c r="B516" s="56" t="s">
        <v>263</v>
      </c>
      <c r="C516" s="57" t="s">
        <v>883</v>
      </c>
      <c r="D516" s="57" t="s">
        <v>290</v>
      </c>
      <c r="E516" s="57" t="s">
        <v>739</v>
      </c>
      <c r="F516" s="57" t="s">
        <v>1001</v>
      </c>
      <c r="G516" t="s">
        <v>1011</v>
      </c>
      <c r="H516" t="s">
        <v>1011</v>
      </c>
      <c r="I516" s="57" t="s">
        <v>1243</v>
      </c>
      <c r="J516" s="57" t="s">
        <v>1247</v>
      </c>
      <c r="K516" s="57" t="s">
        <v>267</v>
      </c>
      <c r="L516" s="58" t="s">
        <v>307</v>
      </c>
      <c r="M516" s="59">
        <v>46547</v>
      </c>
      <c r="N516" s="60">
        <v>46579</v>
      </c>
    </row>
    <row r="517" spans="2:14" hidden="1" x14ac:dyDescent="0.3">
      <c r="B517" s="56" t="s">
        <v>263</v>
      </c>
      <c r="C517" s="57" t="s">
        <v>883</v>
      </c>
      <c r="D517" s="57" t="s">
        <v>290</v>
      </c>
      <c r="E517" s="57" t="s">
        <v>739</v>
      </c>
      <c r="F517" s="57" t="s">
        <v>1014</v>
      </c>
      <c r="G517" t="s">
        <v>1015</v>
      </c>
      <c r="H517" t="s">
        <v>1015</v>
      </c>
      <c r="I517" s="57" t="s">
        <v>1248</v>
      </c>
      <c r="J517" s="57" t="s">
        <v>1249</v>
      </c>
      <c r="K517" s="57" t="s">
        <v>267</v>
      </c>
      <c r="L517" s="58" t="s">
        <v>307</v>
      </c>
      <c r="M517" s="59">
        <v>46510</v>
      </c>
      <c r="N517" s="60">
        <v>46546</v>
      </c>
    </row>
    <row r="518" spans="2:14" hidden="1" x14ac:dyDescent="0.3">
      <c r="B518" s="56" t="s">
        <v>263</v>
      </c>
      <c r="C518" s="57" t="s">
        <v>883</v>
      </c>
      <c r="D518" s="57" t="s">
        <v>290</v>
      </c>
      <c r="E518" s="57" t="s">
        <v>739</v>
      </c>
      <c r="F518" s="57" t="s">
        <v>1014</v>
      </c>
      <c r="G518" t="s">
        <v>1018</v>
      </c>
      <c r="H518" t="s">
        <v>1018</v>
      </c>
      <c r="I518" s="57" t="s">
        <v>1248</v>
      </c>
      <c r="J518" s="57" t="s">
        <v>1250</v>
      </c>
      <c r="K518" s="57" t="s">
        <v>267</v>
      </c>
      <c r="L518" s="58" t="s">
        <v>307</v>
      </c>
      <c r="M518" s="59">
        <v>46580</v>
      </c>
      <c r="N518" s="60">
        <v>46611</v>
      </c>
    </row>
    <row r="519" spans="2:14" hidden="1" x14ac:dyDescent="0.3">
      <c r="B519" s="56" t="s">
        <v>263</v>
      </c>
      <c r="C519" s="57" t="s">
        <v>883</v>
      </c>
      <c r="D519" s="57" t="s">
        <v>290</v>
      </c>
      <c r="E519" s="57" t="s">
        <v>739</v>
      </c>
      <c r="F519" s="57" t="s">
        <v>1014</v>
      </c>
      <c r="G519" t="s">
        <v>1021</v>
      </c>
      <c r="H519" t="s">
        <v>1021</v>
      </c>
      <c r="I519" s="57" t="s">
        <v>1248</v>
      </c>
      <c r="J519" s="57" t="s">
        <v>1251</v>
      </c>
      <c r="K519" s="57" t="s">
        <v>267</v>
      </c>
      <c r="L519" s="58" t="s">
        <v>307</v>
      </c>
      <c r="M519" s="59">
        <v>46613</v>
      </c>
      <c r="N519" s="60">
        <v>46644</v>
      </c>
    </row>
    <row r="520" spans="2:14" hidden="1" x14ac:dyDescent="0.3">
      <c r="B520" s="56" t="s">
        <v>263</v>
      </c>
      <c r="C520" s="57" t="s">
        <v>883</v>
      </c>
      <c r="D520" s="57" t="s">
        <v>290</v>
      </c>
      <c r="E520" s="57" t="s">
        <v>739</v>
      </c>
      <c r="F520" s="57" t="s">
        <v>1014</v>
      </c>
      <c r="G520" t="s">
        <v>1024</v>
      </c>
      <c r="H520" t="s">
        <v>1024</v>
      </c>
      <c r="I520" s="57" t="s">
        <v>1248</v>
      </c>
      <c r="J520" s="57" t="s">
        <v>1252</v>
      </c>
      <c r="K520" s="57" t="s">
        <v>267</v>
      </c>
      <c r="L520" s="58" t="s">
        <v>307</v>
      </c>
      <c r="M520" s="59">
        <v>46477</v>
      </c>
      <c r="N520" s="60">
        <v>46509</v>
      </c>
    </row>
    <row r="521" spans="2:14" hidden="1" x14ac:dyDescent="0.3">
      <c r="B521" s="56" t="s">
        <v>263</v>
      </c>
      <c r="C521" s="57" t="s">
        <v>883</v>
      </c>
      <c r="D521" s="57" t="s">
        <v>290</v>
      </c>
      <c r="E521" s="57" t="s">
        <v>739</v>
      </c>
      <c r="F521" s="57" t="s">
        <v>1014</v>
      </c>
      <c r="G521" t="s">
        <v>1027</v>
      </c>
      <c r="H521" t="s">
        <v>1027</v>
      </c>
      <c r="I521" s="57" t="s">
        <v>1248</v>
      </c>
      <c r="J521" s="57" t="s">
        <v>1253</v>
      </c>
      <c r="K521" s="57" t="s">
        <v>267</v>
      </c>
      <c r="L521" s="58" t="s">
        <v>307</v>
      </c>
      <c r="M521" s="59">
        <v>46594</v>
      </c>
      <c r="N521" s="60">
        <v>46625</v>
      </c>
    </row>
    <row r="522" spans="2:14" hidden="1" x14ac:dyDescent="0.3">
      <c r="B522" s="56" t="s">
        <v>263</v>
      </c>
      <c r="C522" s="57" t="s">
        <v>883</v>
      </c>
      <c r="D522" s="57" t="s">
        <v>290</v>
      </c>
      <c r="E522" s="57" t="s">
        <v>739</v>
      </c>
      <c r="F522" s="57" t="s">
        <v>1014</v>
      </c>
      <c r="G522" t="s">
        <v>1033</v>
      </c>
      <c r="H522" t="s">
        <v>1033</v>
      </c>
      <c r="I522" s="57" t="s">
        <v>1248</v>
      </c>
      <c r="J522" s="57" t="s">
        <v>1254</v>
      </c>
      <c r="K522" s="57" t="s">
        <v>267</v>
      </c>
      <c r="L522" s="58" t="s">
        <v>307</v>
      </c>
      <c r="M522" s="59">
        <v>46627</v>
      </c>
      <c r="N522" s="60">
        <v>46659</v>
      </c>
    </row>
    <row r="523" spans="2:14" hidden="1" x14ac:dyDescent="0.3">
      <c r="B523" s="56" t="s">
        <v>263</v>
      </c>
      <c r="C523" s="57" t="s">
        <v>883</v>
      </c>
      <c r="D523" s="57" t="s">
        <v>290</v>
      </c>
      <c r="E523" s="57" t="s">
        <v>739</v>
      </c>
      <c r="F523" s="57" t="s">
        <v>1036</v>
      </c>
      <c r="G523" t="s">
        <v>1056</v>
      </c>
      <c r="H523" t="s">
        <v>1056</v>
      </c>
      <c r="I523" s="57" t="s">
        <v>1255</v>
      </c>
      <c r="J523" s="57" t="s">
        <v>1256</v>
      </c>
      <c r="K523" s="57" t="s">
        <v>267</v>
      </c>
      <c r="L523" s="58" t="s">
        <v>311</v>
      </c>
      <c r="M523" s="59">
        <v>46641</v>
      </c>
      <c r="N523" s="60">
        <v>46665</v>
      </c>
    </row>
    <row r="524" spans="2:14" hidden="1" x14ac:dyDescent="0.3">
      <c r="B524" s="56" t="s">
        <v>263</v>
      </c>
      <c r="C524" s="57" t="s">
        <v>883</v>
      </c>
      <c r="D524" s="57" t="s">
        <v>290</v>
      </c>
      <c r="E524" s="57" t="s">
        <v>739</v>
      </c>
      <c r="F524" s="57" t="s">
        <v>1036</v>
      </c>
      <c r="G524" t="s">
        <v>1056</v>
      </c>
      <c r="H524" t="s">
        <v>1144</v>
      </c>
      <c r="I524" s="57" t="s">
        <v>1255</v>
      </c>
      <c r="J524" s="57" t="s">
        <v>1257</v>
      </c>
      <c r="K524" s="57" t="s">
        <v>267</v>
      </c>
      <c r="L524" s="58" t="s">
        <v>311</v>
      </c>
      <c r="M524" s="59">
        <v>46641</v>
      </c>
      <c r="N524" s="60">
        <v>46665</v>
      </c>
    </row>
    <row r="525" spans="2:14" hidden="1" x14ac:dyDescent="0.3">
      <c r="B525" s="56" t="s">
        <v>263</v>
      </c>
      <c r="C525" s="57" t="s">
        <v>883</v>
      </c>
      <c r="D525" s="57" t="s">
        <v>290</v>
      </c>
      <c r="E525" s="57" t="s">
        <v>739</v>
      </c>
      <c r="F525" s="57" t="s">
        <v>1036</v>
      </c>
      <c r="G525" t="s">
        <v>1048</v>
      </c>
      <c r="H525" t="s">
        <v>1048</v>
      </c>
      <c r="I525" s="57" t="s">
        <v>1255</v>
      </c>
      <c r="J525" s="57" t="s">
        <v>1258</v>
      </c>
      <c r="K525" s="57" t="s">
        <v>267</v>
      </c>
      <c r="L525" s="58" t="s">
        <v>307</v>
      </c>
      <c r="M525" s="59">
        <v>46547</v>
      </c>
      <c r="N525" s="60">
        <v>46579</v>
      </c>
    </row>
    <row r="526" spans="2:14" hidden="1" x14ac:dyDescent="0.3">
      <c r="B526" s="56" t="s">
        <v>263</v>
      </c>
      <c r="C526" s="57" t="s">
        <v>883</v>
      </c>
      <c r="D526" s="57" t="s">
        <v>290</v>
      </c>
      <c r="E526" s="57" t="s">
        <v>756</v>
      </c>
      <c r="F526" s="57" t="s">
        <v>884</v>
      </c>
      <c r="G526" t="s">
        <v>757</v>
      </c>
      <c r="H526" t="s">
        <v>885</v>
      </c>
      <c r="I526" s="57" t="s">
        <v>1259</v>
      </c>
      <c r="J526" s="57" t="s">
        <v>1260</v>
      </c>
      <c r="K526" s="57" t="s">
        <v>267</v>
      </c>
      <c r="L526" s="58" t="s">
        <v>307</v>
      </c>
      <c r="M526" s="59">
        <v>46039</v>
      </c>
      <c r="N526" s="60">
        <v>46070</v>
      </c>
    </row>
    <row r="527" spans="2:14" hidden="1" x14ac:dyDescent="0.3">
      <c r="B527" s="56" t="s">
        <v>263</v>
      </c>
      <c r="C527" s="57" t="s">
        <v>883</v>
      </c>
      <c r="D527" s="57" t="s">
        <v>290</v>
      </c>
      <c r="E527" s="57" t="s">
        <v>756</v>
      </c>
      <c r="F527" s="57" t="s">
        <v>884</v>
      </c>
      <c r="G527" t="s">
        <v>757</v>
      </c>
      <c r="H527" t="s">
        <v>888</v>
      </c>
      <c r="I527" s="57" t="s">
        <v>1259</v>
      </c>
      <c r="J527" s="57" t="s">
        <v>1261</v>
      </c>
      <c r="K527" s="57" t="s">
        <v>267</v>
      </c>
      <c r="L527" s="58" t="s">
        <v>307</v>
      </c>
      <c r="M527" s="59">
        <v>46039</v>
      </c>
      <c r="N527" s="60">
        <v>46070</v>
      </c>
    </row>
    <row r="528" spans="2:14" hidden="1" x14ac:dyDescent="0.3">
      <c r="B528" s="56" t="s">
        <v>263</v>
      </c>
      <c r="C528" s="57" t="s">
        <v>883</v>
      </c>
      <c r="D528" s="57" t="s">
        <v>290</v>
      </c>
      <c r="E528" s="57" t="s">
        <v>756</v>
      </c>
      <c r="F528" s="57" t="s">
        <v>884</v>
      </c>
      <c r="G528" t="s">
        <v>762</v>
      </c>
      <c r="H528" t="s">
        <v>885</v>
      </c>
      <c r="I528" s="57" t="s">
        <v>1259</v>
      </c>
      <c r="J528" s="57" t="s">
        <v>1262</v>
      </c>
      <c r="K528" s="57" t="s">
        <v>267</v>
      </c>
      <c r="L528" s="58" t="s">
        <v>311</v>
      </c>
      <c r="M528" s="59">
        <v>46156</v>
      </c>
      <c r="N528" s="60">
        <v>46183</v>
      </c>
    </row>
    <row r="529" spans="2:14" hidden="1" x14ac:dyDescent="0.3">
      <c r="B529" s="56" t="s">
        <v>263</v>
      </c>
      <c r="C529" s="57" t="s">
        <v>883</v>
      </c>
      <c r="D529" s="57" t="s">
        <v>290</v>
      </c>
      <c r="E529" s="57" t="s">
        <v>756</v>
      </c>
      <c r="F529" s="57" t="s">
        <v>884</v>
      </c>
      <c r="G529" t="s">
        <v>762</v>
      </c>
      <c r="H529" t="s">
        <v>888</v>
      </c>
      <c r="I529" s="57" t="s">
        <v>1259</v>
      </c>
      <c r="J529" s="57" t="s">
        <v>1263</v>
      </c>
      <c r="K529" s="57" t="s">
        <v>267</v>
      </c>
      <c r="L529" s="58" t="s">
        <v>307</v>
      </c>
      <c r="M529" s="59">
        <v>46156</v>
      </c>
      <c r="N529" s="60">
        <v>46191</v>
      </c>
    </row>
    <row r="530" spans="2:14" hidden="1" x14ac:dyDescent="0.3">
      <c r="B530" s="56" t="s">
        <v>263</v>
      </c>
      <c r="C530" s="57" t="s">
        <v>883</v>
      </c>
      <c r="D530" s="57" t="s">
        <v>290</v>
      </c>
      <c r="E530" s="57" t="s">
        <v>756</v>
      </c>
      <c r="F530" s="57" t="s">
        <v>884</v>
      </c>
      <c r="G530" t="s">
        <v>1264</v>
      </c>
      <c r="H530" t="s">
        <v>885</v>
      </c>
      <c r="I530" s="57" t="s">
        <v>1259</v>
      </c>
      <c r="J530" s="57" t="s">
        <v>1265</v>
      </c>
      <c r="K530" s="57" t="s">
        <v>267</v>
      </c>
      <c r="L530" s="58" t="s">
        <v>307</v>
      </c>
      <c r="M530" s="59">
        <v>46184</v>
      </c>
      <c r="N530" s="60">
        <v>46216</v>
      </c>
    </row>
    <row r="531" spans="2:14" hidden="1" x14ac:dyDescent="0.3">
      <c r="B531" s="56" t="s">
        <v>263</v>
      </c>
      <c r="C531" s="57" t="s">
        <v>883</v>
      </c>
      <c r="D531" s="57" t="s">
        <v>290</v>
      </c>
      <c r="E531" s="57" t="s">
        <v>756</v>
      </c>
      <c r="F531" s="57" t="s">
        <v>884</v>
      </c>
      <c r="G531" t="s">
        <v>1264</v>
      </c>
      <c r="H531" t="s">
        <v>888</v>
      </c>
      <c r="I531" s="57" t="s">
        <v>1259</v>
      </c>
      <c r="J531" s="57" t="s">
        <v>1266</v>
      </c>
      <c r="K531" s="57" t="s">
        <v>267</v>
      </c>
      <c r="L531" s="58" t="s">
        <v>307</v>
      </c>
      <c r="M531" s="59">
        <v>46193</v>
      </c>
      <c r="N531" s="60">
        <v>46224</v>
      </c>
    </row>
    <row r="532" spans="2:14" hidden="1" x14ac:dyDescent="0.3">
      <c r="B532" s="56" t="s">
        <v>263</v>
      </c>
      <c r="C532" s="57" t="s">
        <v>883</v>
      </c>
      <c r="D532" s="57" t="s">
        <v>290</v>
      </c>
      <c r="E532" s="57" t="s">
        <v>756</v>
      </c>
      <c r="F532" s="57" t="s">
        <v>923</v>
      </c>
      <c r="G532" t="s">
        <v>757</v>
      </c>
      <c r="H532" t="s">
        <v>924</v>
      </c>
      <c r="I532" s="57" t="s">
        <v>1267</v>
      </c>
      <c r="J532" s="57" t="s">
        <v>1268</v>
      </c>
      <c r="K532" s="57" t="s">
        <v>267</v>
      </c>
      <c r="L532" s="58" t="s">
        <v>307</v>
      </c>
      <c r="M532" s="59">
        <v>46235</v>
      </c>
      <c r="N532" s="60">
        <v>46266</v>
      </c>
    </row>
    <row r="533" spans="2:14" hidden="1" x14ac:dyDescent="0.3">
      <c r="B533" s="56" t="s">
        <v>263</v>
      </c>
      <c r="C533" s="57" t="s">
        <v>883</v>
      </c>
      <c r="D533" s="57" t="s">
        <v>290</v>
      </c>
      <c r="E533" s="57" t="s">
        <v>756</v>
      </c>
      <c r="F533" s="57" t="s">
        <v>923</v>
      </c>
      <c r="G533" t="s">
        <v>757</v>
      </c>
      <c r="H533" t="s">
        <v>927</v>
      </c>
      <c r="I533" s="57" t="s">
        <v>1267</v>
      </c>
      <c r="J533" s="57" t="s">
        <v>1269</v>
      </c>
      <c r="K533" s="57" t="s">
        <v>267</v>
      </c>
      <c r="L533" s="58" t="s">
        <v>307</v>
      </c>
      <c r="M533" s="59">
        <v>46235</v>
      </c>
      <c r="N533" s="60">
        <v>46266</v>
      </c>
    </row>
    <row r="534" spans="2:14" hidden="1" x14ac:dyDescent="0.3">
      <c r="B534" s="56" t="s">
        <v>263</v>
      </c>
      <c r="C534" s="57" t="s">
        <v>883</v>
      </c>
      <c r="D534" s="57" t="s">
        <v>290</v>
      </c>
      <c r="E534" s="57" t="s">
        <v>756</v>
      </c>
      <c r="F534" s="57" t="s">
        <v>923</v>
      </c>
      <c r="G534" t="s">
        <v>757</v>
      </c>
      <c r="H534" t="s">
        <v>929</v>
      </c>
      <c r="I534" s="57" t="s">
        <v>1267</v>
      </c>
      <c r="J534" s="57" t="s">
        <v>1270</v>
      </c>
      <c r="K534" s="57" t="s">
        <v>267</v>
      </c>
      <c r="L534" s="58" t="s">
        <v>307</v>
      </c>
      <c r="M534" s="59">
        <v>46235</v>
      </c>
      <c r="N534" s="60">
        <v>46266</v>
      </c>
    </row>
    <row r="535" spans="2:14" hidden="1" x14ac:dyDescent="0.3">
      <c r="B535" s="56" t="s">
        <v>263</v>
      </c>
      <c r="C535" s="57" t="s">
        <v>883</v>
      </c>
      <c r="D535" s="57" t="s">
        <v>290</v>
      </c>
      <c r="E535" s="57" t="s">
        <v>756</v>
      </c>
      <c r="F535" s="57" t="s">
        <v>923</v>
      </c>
      <c r="G535" t="s">
        <v>757</v>
      </c>
      <c r="H535" t="s">
        <v>931</v>
      </c>
      <c r="I535" s="57" t="s">
        <v>1267</v>
      </c>
      <c r="J535" s="57" t="s">
        <v>1271</v>
      </c>
      <c r="K535" s="57" t="s">
        <v>267</v>
      </c>
      <c r="L535" s="58" t="s">
        <v>307</v>
      </c>
      <c r="M535" s="59">
        <v>46145</v>
      </c>
      <c r="N535" s="60">
        <v>46180</v>
      </c>
    </row>
    <row r="536" spans="2:14" hidden="1" x14ac:dyDescent="0.3">
      <c r="B536" s="56" t="s">
        <v>263</v>
      </c>
      <c r="C536" s="57" t="s">
        <v>883</v>
      </c>
      <c r="D536" s="57" t="s">
        <v>290</v>
      </c>
      <c r="E536" s="57" t="s">
        <v>756</v>
      </c>
      <c r="F536" s="57" t="s">
        <v>923</v>
      </c>
      <c r="G536" t="s">
        <v>757</v>
      </c>
      <c r="H536" t="s">
        <v>933</v>
      </c>
      <c r="I536" s="57" t="s">
        <v>1267</v>
      </c>
      <c r="J536" s="57" t="s">
        <v>1272</v>
      </c>
      <c r="K536" s="57" t="s">
        <v>267</v>
      </c>
      <c r="L536" s="58" t="s">
        <v>307</v>
      </c>
      <c r="M536" s="59">
        <v>46277</v>
      </c>
      <c r="N536" s="60">
        <v>46309</v>
      </c>
    </row>
    <row r="537" spans="2:14" hidden="1" x14ac:dyDescent="0.3">
      <c r="B537" s="56" t="s">
        <v>263</v>
      </c>
      <c r="C537" s="57" t="s">
        <v>883</v>
      </c>
      <c r="D537" s="57" t="s">
        <v>290</v>
      </c>
      <c r="E537" s="57" t="s">
        <v>756</v>
      </c>
      <c r="F537" s="57" t="s">
        <v>923</v>
      </c>
      <c r="G537" t="s">
        <v>762</v>
      </c>
      <c r="H537" t="s">
        <v>924</v>
      </c>
      <c r="I537" s="57" t="s">
        <v>1267</v>
      </c>
      <c r="J537" s="57" t="s">
        <v>1273</v>
      </c>
      <c r="K537" s="57" t="s">
        <v>267</v>
      </c>
      <c r="L537" s="58" t="s">
        <v>311</v>
      </c>
      <c r="M537" s="59">
        <v>46376</v>
      </c>
      <c r="N537" s="60">
        <v>46399</v>
      </c>
    </row>
    <row r="538" spans="2:14" hidden="1" x14ac:dyDescent="0.3">
      <c r="B538" s="56" t="s">
        <v>263</v>
      </c>
      <c r="C538" s="57" t="s">
        <v>883</v>
      </c>
      <c r="D538" s="57" t="s">
        <v>290</v>
      </c>
      <c r="E538" s="57" t="s">
        <v>756</v>
      </c>
      <c r="F538" s="57" t="s">
        <v>923</v>
      </c>
      <c r="G538" t="s">
        <v>762</v>
      </c>
      <c r="H538" t="s">
        <v>927</v>
      </c>
      <c r="I538" s="57" t="s">
        <v>1267</v>
      </c>
      <c r="J538" s="57" t="s">
        <v>1274</v>
      </c>
      <c r="K538" s="57" t="s">
        <v>267</v>
      </c>
      <c r="L538" s="58" t="s">
        <v>307</v>
      </c>
      <c r="M538" s="59">
        <v>46376</v>
      </c>
      <c r="N538" s="60">
        <v>46407</v>
      </c>
    </row>
    <row r="539" spans="2:14" hidden="1" x14ac:dyDescent="0.3">
      <c r="B539" s="56" t="s">
        <v>263</v>
      </c>
      <c r="C539" s="57" t="s">
        <v>883</v>
      </c>
      <c r="D539" s="57" t="s">
        <v>290</v>
      </c>
      <c r="E539" s="57" t="s">
        <v>756</v>
      </c>
      <c r="F539" s="57" t="s">
        <v>923</v>
      </c>
      <c r="G539" t="s">
        <v>762</v>
      </c>
      <c r="H539" t="s">
        <v>929</v>
      </c>
      <c r="I539" s="57" t="s">
        <v>1267</v>
      </c>
      <c r="J539" s="57" t="s">
        <v>1275</v>
      </c>
      <c r="K539" s="57" t="s">
        <v>267</v>
      </c>
      <c r="L539" s="58" t="s">
        <v>307</v>
      </c>
      <c r="M539" s="59">
        <v>46376</v>
      </c>
      <c r="N539" s="60">
        <v>46407</v>
      </c>
    </row>
    <row r="540" spans="2:14" hidden="1" x14ac:dyDescent="0.3">
      <c r="B540" s="56" t="s">
        <v>263</v>
      </c>
      <c r="C540" s="57" t="s">
        <v>883</v>
      </c>
      <c r="D540" s="57" t="s">
        <v>290</v>
      </c>
      <c r="E540" s="57" t="s">
        <v>756</v>
      </c>
      <c r="F540" s="57" t="s">
        <v>923</v>
      </c>
      <c r="G540" t="s">
        <v>762</v>
      </c>
      <c r="H540" t="s">
        <v>931</v>
      </c>
      <c r="I540" s="57" t="s">
        <v>1267</v>
      </c>
      <c r="J540" s="57" t="s">
        <v>1276</v>
      </c>
      <c r="K540" s="57" t="s">
        <v>267</v>
      </c>
      <c r="L540" s="58" t="s">
        <v>307</v>
      </c>
      <c r="M540" s="59">
        <v>46376</v>
      </c>
      <c r="N540" s="60">
        <v>46407</v>
      </c>
    </row>
    <row r="541" spans="2:14" hidden="1" x14ac:dyDescent="0.3">
      <c r="B541" s="56" t="s">
        <v>263</v>
      </c>
      <c r="C541" s="57" t="s">
        <v>883</v>
      </c>
      <c r="D541" s="57" t="s">
        <v>290</v>
      </c>
      <c r="E541" s="57" t="s">
        <v>756</v>
      </c>
      <c r="F541" s="57" t="s">
        <v>923</v>
      </c>
      <c r="G541" t="s">
        <v>762</v>
      </c>
      <c r="H541" t="s">
        <v>933</v>
      </c>
      <c r="I541" s="57" t="s">
        <v>1267</v>
      </c>
      <c r="J541" s="57" t="s">
        <v>1277</v>
      </c>
      <c r="K541" s="57" t="s">
        <v>267</v>
      </c>
      <c r="L541" s="58" t="s">
        <v>307</v>
      </c>
      <c r="M541" s="59">
        <v>46376</v>
      </c>
      <c r="N541" s="60">
        <v>46407</v>
      </c>
    </row>
    <row r="542" spans="2:14" hidden="1" x14ac:dyDescent="0.3">
      <c r="B542" s="56" t="s">
        <v>263</v>
      </c>
      <c r="C542" s="57" t="s">
        <v>883</v>
      </c>
      <c r="D542" s="57" t="s">
        <v>290</v>
      </c>
      <c r="E542" s="57" t="s">
        <v>756</v>
      </c>
      <c r="F542" s="57" t="s">
        <v>923</v>
      </c>
      <c r="G542" t="s">
        <v>1264</v>
      </c>
      <c r="H542" t="s">
        <v>924</v>
      </c>
      <c r="I542" s="57" t="s">
        <v>1267</v>
      </c>
      <c r="J542" s="57" t="s">
        <v>1278</v>
      </c>
      <c r="K542" s="57" t="s">
        <v>267</v>
      </c>
      <c r="L542" s="58" t="s">
        <v>307</v>
      </c>
      <c r="M542" s="59">
        <v>46400</v>
      </c>
      <c r="N542" s="60">
        <v>46432</v>
      </c>
    </row>
    <row r="543" spans="2:14" hidden="1" x14ac:dyDescent="0.3">
      <c r="B543" s="56" t="s">
        <v>263</v>
      </c>
      <c r="C543" s="57" t="s">
        <v>883</v>
      </c>
      <c r="D543" s="57" t="s">
        <v>290</v>
      </c>
      <c r="E543" s="57" t="s">
        <v>756</v>
      </c>
      <c r="F543" s="57" t="s">
        <v>923</v>
      </c>
      <c r="G543" t="s">
        <v>1264</v>
      </c>
      <c r="H543" t="s">
        <v>927</v>
      </c>
      <c r="I543" s="57" t="s">
        <v>1267</v>
      </c>
      <c r="J543" s="57" t="s">
        <v>1279</v>
      </c>
      <c r="K543" s="57" t="s">
        <v>267</v>
      </c>
      <c r="L543" s="58" t="s">
        <v>307</v>
      </c>
      <c r="M543" s="59">
        <v>46408</v>
      </c>
      <c r="N543" s="60">
        <v>46441</v>
      </c>
    </row>
    <row r="544" spans="2:14" hidden="1" x14ac:dyDescent="0.3">
      <c r="B544" s="56" t="s">
        <v>263</v>
      </c>
      <c r="C544" s="57" t="s">
        <v>883</v>
      </c>
      <c r="D544" s="57" t="s">
        <v>290</v>
      </c>
      <c r="E544" s="57" t="s">
        <v>756</v>
      </c>
      <c r="F544" s="57" t="s">
        <v>923</v>
      </c>
      <c r="G544" t="s">
        <v>1264</v>
      </c>
      <c r="H544" t="s">
        <v>929</v>
      </c>
      <c r="I544" s="57" t="s">
        <v>1267</v>
      </c>
      <c r="J544" s="57" t="s">
        <v>1280</v>
      </c>
      <c r="K544" s="57" t="s">
        <v>267</v>
      </c>
      <c r="L544" s="58" t="s">
        <v>307</v>
      </c>
      <c r="M544" s="59">
        <v>46408</v>
      </c>
      <c r="N544" s="60">
        <v>46441</v>
      </c>
    </row>
    <row r="545" spans="2:14" hidden="1" x14ac:dyDescent="0.3">
      <c r="B545" s="56" t="s">
        <v>263</v>
      </c>
      <c r="C545" s="57" t="s">
        <v>883</v>
      </c>
      <c r="D545" s="57" t="s">
        <v>290</v>
      </c>
      <c r="E545" s="57" t="s">
        <v>756</v>
      </c>
      <c r="F545" s="57" t="s">
        <v>923</v>
      </c>
      <c r="G545" t="s">
        <v>1264</v>
      </c>
      <c r="H545" t="s">
        <v>931</v>
      </c>
      <c r="I545" s="57" t="s">
        <v>1267</v>
      </c>
      <c r="J545" s="57" t="s">
        <v>1281</v>
      </c>
      <c r="K545" s="57" t="s">
        <v>267</v>
      </c>
      <c r="L545" s="58" t="s">
        <v>307</v>
      </c>
      <c r="M545" s="59">
        <v>46408</v>
      </c>
      <c r="N545" s="60">
        <v>46441</v>
      </c>
    </row>
    <row r="546" spans="2:14" hidden="1" x14ac:dyDescent="0.3">
      <c r="B546" s="56" t="s">
        <v>263</v>
      </c>
      <c r="C546" s="57" t="s">
        <v>883</v>
      </c>
      <c r="D546" s="57" t="s">
        <v>290</v>
      </c>
      <c r="E546" s="57" t="s">
        <v>756</v>
      </c>
      <c r="F546" s="57" t="s">
        <v>923</v>
      </c>
      <c r="G546" t="s">
        <v>1264</v>
      </c>
      <c r="H546" t="s">
        <v>933</v>
      </c>
      <c r="I546" s="57" t="s">
        <v>1267</v>
      </c>
      <c r="J546" s="57" t="s">
        <v>1282</v>
      </c>
      <c r="K546" s="57" t="s">
        <v>267</v>
      </c>
      <c r="L546" s="58" t="s">
        <v>307</v>
      </c>
      <c r="M546" s="59">
        <v>46408</v>
      </c>
      <c r="N546" s="60">
        <v>46441</v>
      </c>
    </row>
    <row r="547" spans="2:14" hidden="1" x14ac:dyDescent="0.3">
      <c r="B547" s="56" t="s">
        <v>263</v>
      </c>
      <c r="C547" s="57" t="s">
        <v>883</v>
      </c>
      <c r="D547" s="57" t="s">
        <v>290</v>
      </c>
      <c r="E547" s="57" t="s">
        <v>756</v>
      </c>
      <c r="F547" s="57" t="s">
        <v>1001</v>
      </c>
      <c r="G547" t="s">
        <v>924</v>
      </c>
      <c r="H547" t="s">
        <v>924</v>
      </c>
      <c r="I547" s="57" t="s">
        <v>1283</v>
      </c>
      <c r="J547" s="57" t="s">
        <v>1284</v>
      </c>
      <c r="K547" s="57" t="s">
        <v>267</v>
      </c>
      <c r="L547" s="58" t="s">
        <v>307</v>
      </c>
      <c r="M547" s="59">
        <v>46433</v>
      </c>
      <c r="N547" s="60">
        <v>46468</v>
      </c>
    </row>
    <row r="548" spans="2:14" hidden="1" x14ac:dyDescent="0.3">
      <c r="B548" s="56" t="s">
        <v>263</v>
      </c>
      <c r="C548" s="57" t="s">
        <v>883</v>
      </c>
      <c r="D548" s="57" t="s">
        <v>290</v>
      </c>
      <c r="E548" s="57" t="s">
        <v>756</v>
      </c>
      <c r="F548" s="57" t="s">
        <v>1001</v>
      </c>
      <c r="G548" t="s">
        <v>1005</v>
      </c>
      <c r="H548" t="s">
        <v>1005</v>
      </c>
      <c r="I548" s="57" t="s">
        <v>1283</v>
      </c>
      <c r="J548" s="57" t="s">
        <v>1285</v>
      </c>
      <c r="K548" s="57" t="s">
        <v>267</v>
      </c>
      <c r="L548" s="58" t="s">
        <v>307</v>
      </c>
      <c r="M548" s="59">
        <v>46469</v>
      </c>
      <c r="N548" s="60">
        <v>46501</v>
      </c>
    </row>
    <row r="549" spans="2:14" hidden="1" x14ac:dyDescent="0.3">
      <c r="B549" s="56" t="s">
        <v>263</v>
      </c>
      <c r="C549" s="57" t="s">
        <v>883</v>
      </c>
      <c r="D549" s="57" t="s">
        <v>290</v>
      </c>
      <c r="E549" s="57" t="s">
        <v>756</v>
      </c>
      <c r="F549" s="57" t="s">
        <v>1001</v>
      </c>
      <c r="G549" t="s">
        <v>1008</v>
      </c>
      <c r="H549" t="s">
        <v>1008</v>
      </c>
      <c r="I549" s="57" t="s">
        <v>1283</v>
      </c>
      <c r="J549" s="57" t="s">
        <v>1286</v>
      </c>
      <c r="K549" s="57" t="s">
        <v>267</v>
      </c>
      <c r="L549" s="58" t="s">
        <v>307</v>
      </c>
      <c r="M549" s="59">
        <v>46502</v>
      </c>
      <c r="N549" s="60">
        <v>46538</v>
      </c>
    </row>
    <row r="550" spans="2:14" hidden="1" x14ac:dyDescent="0.3">
      <c r="B550" s="56" t="s">
        <v>263</v>
      </c>
      <c r="C550" s="57" t="s">
        <v>883</v>
      </c>
      <c r="D550" s="57" t="s">
        <v>290</v>
      </c>
      <c r="E550" s="57" t="s">
        <v>756</v>
      </c>
      <c r="F550" s="57" t="s">
        <v>1001</v>
      </c>
      <c r="G550" t="s">
        <v>1011</v>
      </c>
      <c r="H550" t="s">
        <v>1011</v>
      </c>
      <c r="I550" s="57" t="s">
        <v>1283</v>
      </c>
      <c r="J550" s="57" t="s">
        <v>1287</v>
      </c>
      <c r="K550" s="57" t="s">
        <v>267</v>
      </c>
      <c r="L550" s="58" t="s">
        <v>307</v>
      </c>
      <c r="M550" s="59">
        <v>46539</v>
      </c>
      <c r="N550" s="60">
        <v>46571</v>
      </c>
    </row>
    <row r="551" spans="2:14" hidden="1" x14ac:dyDescent="0.3">
      <c r="B551" s="56" t="s">
        <v>263</v>
      </c>
      <c r="C551" s="57" t="s">
        <v>883</v>
      </c>
      <c r="D551" s="57" t="s">
        <v>290</v>
      </c>
      <c r="E551" s="57" t="s">
        <v>756</v>
      </c>
      <c r="F551" s="57" t="s">
        <v>1014</v>
      </c>
      <c r="G551" t="s">
        <v>1015</v>
      </c>
      <c r="H551" t="s">
        <v>1015</v>
      </c>
      <c r="I551" s="57" t="s">
        <v>1288</v>
      </c>
      <c r="J551" s="57" t="s">
        <v>1289</v>
      </c>
      <c r="K551" s="57" t="s">
        <v>267</v>
      </c>
      <c r="L551" s="58" t="s">
        <v>307</v>
      </c>
      <c r="M551" s="59">
        <v>46502</v>
      </c>
      <c r="N551" s="60">
        <v>46538</v>
      </c>
    </row>
    <row r="552" spans="2:14" hidden="1" x14ac:dyDescent="0.3">
      <c r="B552" s="56" t="s">
        <v>263</v>
      </c>
      <c r="C552" s="57" t="s">
        <v>883</v>
      </c>
      <c r="D552" s="57" t="s">
        <v>290</v>
      </c>
      <c r="E552" s="57" t="s">
        <v>756</v>
      </c>
      <c r="F552" s="57" t="s">
        <v>1014</v>
      </c>
      <c r="G552" t="s">
        <v>1018</v>
      </c>
      <c r="H552" t="s">
        <v>1018</v>
      </c>
      <c r="I552" s="57" t="s">
        <v>1288</v>
      </c>
      <c r="J552" s="57" t="s">
        <v>1290</v>
      </c>
      <c r="K552" s="57" t="s">
        <v>267</v>
      </c>
      <c r="L552" s="58" t="s">
        <v>307</v>
      </c>
      <c r="M552" s="59">
        <v>46572</v>
      </c>
      <c r="N552" s="60">
        <v>46603</v>
      </c>
    </row>
    <row r="553" spans="2:14" hidden="1" x14ac:dyDescent="0.3">
      <c r="B553" s="56" t="s">
        <v>263</v>
      </c>
      <c r="C553" s="57" t="s">
        <v>883</v>
      </c>
      <c r="D553" s="57" t="s">
        <v>290</v>
      </c>
      <c r="E553" s="57" t="s">
        <v>756</v>
      </c>
      <c r="F553" s="57" t="s">
        <v>1014</v>
      </c>
      <c r="G553" t="s">
        <v>1021</v>
      </c>
      <c r="H553" t="s">
        <v>1021</v>
      </c>
      <c r="I553" s="57" t="s">
        <v>1288</v>
      </c>
      <c r="J553" s="57" t="s">
        <v>1291</v>
      </c>
      <c r="K553" s="57" t="s">
        <v>267</v>
      </c>
      <c r="L553" s="58" t="s">
        <v>307</v>
      </c>
      <c r="M553" s="59">
        <v>46604</v>
      </c>
      <c r="N553" s="60">
        <v>46636</v>
      </c>
    </row>
    <row r="554" spans="2:14" hidden="1" x14ac:dyDescent="0.3">
      <c r="B554" s="56" t="s">
        <v>263</v>
      </c>
      <c r="C554" s="57" t="s">
        <v>883</v>
      </c>
      <c r="D554" s="57" t="s">
        <v>290</v>
      </c>
      <c r="E554" s="57" t="s">
        <v>756</v>
      </c>
      <c r="F554" s="57" t="s">
        <v>1014</v>
      </c>
      <c r="G554" t="s">
        <v>1024</v>
      </c>
      <c r="H554" t="s">
        <v>1024</v>
      </c>
      <c r="I554" s="57" t="s">
        <v>1288</v>
      </c>
      <c r="J554" s="57" t="s">
        <v>1292</v>
      </c>
      <c r="K554" s="57" t="s">
        <v>267</v>
      </c>
      <c r="L554" s="58" t="s">
        <v>307</v>
      </c>
      <c r="M554" s="59">
        <v>46469</v>
      </c>
      <c r="N554" s="60">
        <v>46501</v>
      </c>
    </row>
    <row r="555" spans="2:14" hidden="1" x14ac:dyDescent="0.3">
      <c r="B555" s="56" t="s">
        <v>263</v>
      </c>
      <c r="C555" s="57" t="s">
        <v>883</v>
      </c>
      <c r="D555" s="57" t="s">
        <v>290</v>
      </c>
      <c r="E555" s="57" t="s">
        <v>756</v>
      </c>
      <c r="F555" s="57" t="s">
        <v>1014</v>
      </c>
      <c r="G555" t="s">
        <v>1027</v>
      </c>
      <c r="H555" t="s">
        <v>1027</v>
      </c>
      <c r="I555" s="57" t="s">
        <v>1288</v>
      </c>
      <c r="J555" s="57" t="s">
        <v>1293</v>
      </c>
      <c r="K555" s="57" t="s">
        <v>267</v>
      </c>
      <c r="L555" s="58" t="s">
        <v>307</v>
      </c>
      <c r="M555" s="59">
        <v>46572</v>
      </c>
      <c r="N555" s="60">
        <v>46603</v>
      </c>
    </row>
    <row r="556" spans="2:14" hidden="1" x14ac:dyDescent="0.3">
      <c r="B556" s="56" t="s">
        <v>263</v>
      </c>
      <c r="C556" s="57" t="s">
        <v>883</v>
      </c>
      <c r="D556" s="57" t="s">
        <v>290</v>
      </c>
      <c r="E556" s="57" t="s">
        <v>756</v>
      </c>
      <c r="F556" s="57" t="s">
        <v>1014</v>
      </c>
      <c r="G556" t="s">
        <v>1033</v>
      </c>
      <c r="H556" t="s">
        <v>1033</v>
      </c>
      <c r="I556" s="57" t="s">
        <v>1288</v>
      </c>
      <c r="J556" s="57" t="s">
        <v>1294</v>
      </c>
      <c r="K556" s="57" t="s">
        <v>267</v>
      </c>
      <c r="L556" s="58" t="s">
        <v>307</v>
      </c>
      <c r="M556" s="59">
        <v>46604</v>
      </c>
      <c r="N556" s="60">
        <v>46636</v>
      </c>
    </row>
    <row r="557" spans="2:14" hidden="1" x14ac:dyDescent="0.3">
      <c r="B557" s="56" t="s">
        <v>263</v>
      </c>
      <c r="C557" s="57" t="s">
        <v>883</v>
      </c>
      <c r="D557" s="57" t="s">
        <v>290</v>
      </c>
      <c r="E557" s="57" t="s">
        <v>756</v>
      </c>
      <c r="F557" s="57" t="s">
        <v>1036</v>
      </c>
      <c r="G557" t="s">
        <v>1056</v>
      </c>
      <c r="H557" t="s">
        <v>1056</v>
      </c>
      <c r="I557" s="57" t="s">
        <v>1295</v>
      </c>
      <c r="J557" s="57" t="s">
        <v>1296</v>
      </c>
      <c r="K557" s="57" t="s">
        <v>267</v>
      </c>
      <c r="L557" s="58" t="s">
        <v>307</v>
      </c>
      <c r="M557" s="59">
        <v>46637</v>
      </c>
      <c r="N557" s="60">
        <v>46670</v>
      </c>
    </row>
    <row r="558" spans="2:14" hidden="1" x14ac:dyDescent="0.3">
      <c r="B558" s="56" t="s">
        <v>263</v>
      </c>
      <c r="C558" s="57" t="s">
        <v>883</v>
      </c>
      <c r="D558" s="57" t="s">
        <v>290</v>
      </c>
      <c r="E558" s="57" t="s">
        <v>756</v>
      </c>
      <c r="F558" s="57" t="s">
        <v>1036</v>
      </c>
      <c r="G558" t="s">
        <v>1056</v>
      </c>
      <c r="H558" t="s">
        <v>1144</v>
      </c>
      <c r="I558" s="57" t="s">
        <v>1295</v>
      </c>
      <c r="J558" s="57" t="s">
        <v>1297</v>
      </c>
      <c r="K558" s="57" t="s">
        <v>267</v>
      </c>
      <c r="L558" s="58" t="s">
        <v>307</v>
      </c>
      <c r="M558" s="59">
        <v>46637</v>
      </c>
      <c r="N558" s="60">
        <v>46670</v>
      </c>
    </row>
    <row r="559" spans="2:14" hidden="1" x14ac:dyDescent="0.3">
      <c r="B559" s="56" t="s">
        <v>263</v>
      </c>
      <c r="C559" s="57" t="s">
        <v>883</v>
      </c>
      <c r="D559" s="57" t="s">
        <v>290</v>
      </c>
      <c r="E559" s="57" t="s">
        <v>756</v>
      </c>
      <c r="F559" s="57" t="s">
        <v>1036</v>
      </c>
      <c r="G559" t="s">
        <v>1048</v>
      </c>
      <c r="H559" t="s">
        <v>1048</v>
      </c>
      <c r="I559" s="57" t="s">
        <v>1295</v>
      </c>
      <c r="J559" s="57" t="s">
        <v>1298</v>
      </c>
      <c r="K559" s="57" t="s">
        <v>267</v>
      </c>
      <c r="L559" s="58" t="s">
        <v>307</v>
      </c>
      <c r="M559" s="59">
        <v>46539</v>
      </c>
      <c r="N559" s="60">
        <v>46571</v>
      </c>
    </row>
    <row r="560" spans="2:14" hidden="1" x14ac:dyDescent="0.3">
      <c r="B560" s="56" t="s">
        <v>263</v>
      </c>
      <c r="C560" s="57" t="s">
        <v>883</v>
      </c>
      <c r="D560" s="57" t="s">
        <v>308</v>
      </c>
      <c r="E560" s="57" t="s">
        <v>884</v>
      </c>
      <c r="F560" s="57" t="s">
        <v>773</v>
      </c>
      <c r="G560" t="s">
        <v>773</v>
      </c>
      <c r="H560" t="s">
        <v>885</v>
      </c>
      <c r="I560" s="57" t="s">
        <v>1299</v>
      </c>
      <c r="J560" s="57" t="s">
        <v>1300</v>
      </c>
      <c r="K560" s="57" t="s">
        <v>267</v>
      </c>
      <c r="L560" s="58" t="s">
        <v>311</v>
      </c>
      <c r="M560" s="59">
        <v>46529</v>
      </c>
      <c r="N560" s="60">
        <v>46552</v>
      </c>
    </row>
    <row r="561" spans="2:14" hidden="1" x14ac:dyDescent="0.3">
      <c r="B561" s="56" t="s">
        <v>263</v>
      </c>
      <c r="C561" s="57" t="s">
        <v>883</v>
      </c>
      <c r="D561" s="57" t="s">
        <v>308</v>
      </c>
      <c r="E561" s="57" t="s">
        <v>884</v>
      </c>
      <c r="F561" s="57" t="s">
        <v>773</v>
      </c>
      <c r="G561" t="s">
        <v>773</v>
      </c>
      <c r="H561" t="s">
        <v>888</v>
      </c>
      <c r="I561" s="57" t="s">
        <v>1299</v>
      </c>
      <c r="J561" s="57" t="s">
        <v>1301</v>
      </c>
      <c r="K561" s="57" t="s">
        <v>267</v>
      </c>
      <c r="L561" s="58" t="s">
        <v>311</v>
      </c>
      <c r="M561" s="59">
        <v>46529</v>
      </c>
      <c r="N561" s="60">
        <v>46552</v>
      </c>
    </row>
    <row r="562" spans="2:14" hidden="1" x14ac:dyDescent="0.3">
      <c r="B562" s="56" t="s">
        <v>263</v>
      </c>
      <c r="C562" s="57" t="s">
        <v>883</v>
      </c>
      <c r="D562" s="57" t="s">
        <v>308</v>
      </c>
      <c r="E562" s="57" t="s">
        <v>884</v>
      </c>
      <c r="F562" s="57" t="s">
        <v>784</v>
      </c>
      <c r="G562" t="s">
        <v>784</v>
      </c>
      <c r="H562" t="s">
        <v>885</v>
      </c>
      <c r="I562" s="57" t="s">
        <v>1302</v>
      </c>
      <c r="J562" s="57" t="s">
        <v>1303</v>
      </c>
      <c r="K562" s="57" t="s">
        <v>267</v>
      </c>
      <c r="L562" s="58" t="s">
        <v>311</v>
      </c>
      <c r="M562" s="59">
        <v>46529</v>
      </c>
      <c r="N562" s="60">
        <v>46552</v>
      </c>
    </row>
    <row r="563" spans="2:14" hidden="1" x14ac:dyDescent="0.3">
      <c r="B563" s="56" t="s">
        <v>263</v>
      </c>
      <c r="C563" s="57" t="s">
        <v>883</v>
      </c>
      <c r="D563" s="57" t="s">
        <v>308</v>
      </c>
      <c r="E563" s="57" t="s">
        <v>884</v>
      </c>
      <c r="F563" s="57" t="s">
        <v>784</v>
      </c>
      <c r="G563" t="s">
        <v>784</v>
      </c>
      <c r="H563" t="s">
        <v>888</v>
      </c>
      <c r="I563" s="57" t="s">
        <v>1302</v>
      </c>
      <c r="J563" s="57" t="s">
        <v>1304</v>
      </c>
      <c r="K563" s="57" t="s">
        <v>267</v>
      </c>
      <c r="L563" s="58" t="s">
        <v>311</v>
      </c>
      <c r="M563" s="59">
        <v>46529</v>
      </c>
      <c r="N563" s="60">
        <v>46552</v>
      </c>
    </row>
    <row r="564" spans="2:14" hidden="1" x14ac:dyDescent="0.3">
      <c r="B564" s="56" t="s">
        <v>263</v>
      </c>
      <c r="C564" s="57" t="s">
        <v>883</v>
      </c>
      <c r="D564" s="57" t="s">
        <v>308</v>
      </c>
      <c r="E564" s="57" t="s">
        <v>923</v>
      </c>
      <c r="F564" s="57" t="s">
        <v>773</v>
      </c>
      <c r="G564" t="s">
        <v>924</v>
      </c>
      <c r="H564" t="s">
        <v>924</v>
      </c>
      <c r="I564" s="57" t="s">
        <v>1305</v>
      </c>
      <c r="J564" s="57" t="s">
        <v>1306</v>
      </c>
      <c r="K564" s="57" t="s">
        <v>267</v>
      </c>
      <c r="L564" s="58" t="s">
        <v>311</v>
      </c>
      <c r="M564" s="59">
        <v>46589</v>
      </c>
      <c r="N564" s="60">
        <v>46613</v>
      </c>
    </row>
    <row r="565" spans="2:14" hidden="1" x14ac:dyDescent="0.3">
      <c r="B565" s="56" t="s">
        <v>263</v>
      </c>
      <c r="C565" s="57" t="s">
        <v>883</v>
      </c>
      <c r="D565" s="57" t="s">
        <v>308</v>
      </c>
      <c r="E565" s="57" t="s">
        <v>923</v>
      </c>
      <c r="F565" s="57" t="s">
        <v>773</v>
      </c>
      <c r="G565" t="s">
        <v>927</v>
      </c>
      <c r="H565" t="s">
        <v>927</v>
      </c>
      <c r="I565" s="57" t="s">
        <v>1305</v>
      </c>
      <c r="J565" s="57" t="s">
        <v>1307</v>
      </c>
      <c r="K565" s="57" t="s">
        <v>267</v>
      </c>
      <c r="L565" s="58" t="s">
        <v>311</v>
      </c>
      <c r="M565" s="59">
        <v>46589</v>
      </c>
      <c r="N565" s="60">
        <v>46613</v>
      </c>
    </row>
    <row r="566" spans="2:14" hidden="1" x14ac:dyDescent="0.3">
      <c r="B566" s="56" t="s">
        <v>263</v>
      </c>
      <c r="C566" s="57" t="s">
        <v>883</v>
      </c>
      <c r="D566" s="57" t="s">
        <v>308</v>
      </c>
      <c r="E566" s="57" t="s">
        <v>923</v>
      </c>
      <c r="F566" s="57" t="s">
        <v>773</v>
      </c>
      <c r="G566" t="s">
        <v>929</v>
      </c>
      <c r="H566" t="s">
        <v>929</v>
      </c>
      <c r="I566" s="57" t="s">
        <v>1305</v>
      </c>
      <c r="J566" s="57" t="s">
        <v>1308</v>
      </c>
      <c r="K566" s="57" t="s">
        <v>267</v>
      </c>
      <c r="L566" s="58" t="s">
        <v>311</v>
      </c>
      <c r="M566" s="59">
        <v>46589</v>
      </c>
      <c r="N566" s="60">
        <v>46613</v>
      </c>
    </row>
    <row r="567" spans="2:14" hidden="1" x14ac:dyDescent="0.3">
      <c r="B567" s="56" t="s">
        <v>263</v>
      </c>
      <c r="C567" s="57" t="s">
        <v>883</v>
      </c>
      <c r="D567" s="57" t="s">
        <v>308</v>
      </c>
      <c r="E567" s="57" t="s">
        <v>923</v>
      </c>
      <c r="F567" s="57" t="s">
        <v>773</v>
      </c>
      <c r="G567" t="s">
        <v>931</v>
      </c>
      <c r="H567" t="s">
        <v>931</v>
      </c>
      <c r="I567" s="57" t="s">
        <v>1305</v>
      </c>
      <c r="J567" s="57" t="s">
        <v>1309</v>
      </c>
      <c r="K567" s="57" t="s">
        <v>267</v>
      </c>
      <c r="L567" s="58" t="s">
        <v>311</v>
      </c>
      <c r="M567" s="59">
        <v>46589</v>
      </c>
      <c r="N567" s="60">
        <v>46613</v>
      </c>
    </row>
    <row r="568" spans="2:14" hidden="1" x14ac:dyDescent="0.3">
      <c r="B568" s="56" t="s">
        <v>263</v>
      </c>
      <c r="C568" s="57" t="s">
        <v>883</v>
      </c>
      <c r="D568" s="57" t="s">
        <v>308</v>
      </c>
      <c r="E568" s="57" t="s">
        <v>923</v>
      </c>
      <c r="F568" s="57" t="s">
        <v>773</v>
      </c>
      <c r="G568" t="s">
        <v>933</v>
      </c>
      <c r="H568" t="s">
        <v>933</v>
      </c>
      <c r="I568" s="57" t="s">
        <v>1305</v>
      </c>
      <c r="J568" s="57" t="s">
        <v>1310</v>
      </c>
      <c r="K568" s="57" t="s">
        <v>267</v>
      </c>
      <c r="L568" s="58" t="s">
        <v>311</v>
      </c>
      <c r="M568" s="59">
        <v>46589</v>
      </c>
      <c r="N568" s="60">
        <v>46613</v>
      </c>
    </row>
    <row r="569" spans="2:14" hidden="1" x14ac:dyDescent="0.3">
      <c r="B569" s="56" t="s">
        <v>263</v>
      </c>
      <c r="C569" s="57" t="s">
        <v>883</v>
      </c>
      <c r="D569" s="57" t="s">
        <v>308</v>
      </c>
      <c r="E569" s="57" t="s">
        <v>923</v>
      </c>
      <c r="F569" s="57" t="s">
        <v>784</v>
      </c>
      <c r="G569" t="s">
        <v>924</v>
      </c>
      <c r="H569" t="s">
        <v>924</v>
      </c>
      <c r="I569" s="57" t="s">
        <v>1311</v>
      </c>
      <c r="J569" s="57" t="s">
        <v>1312</v>
      </c>
      <c r="K569" s="57" t="s">
        <v>267</v>
      </c>
      <c r="L569" s="58" t="s">
        <v>311</v>
      </c>
      <c r="M569" s="59">
        <v>46614</v>
      </c>
      <c r="N569" s="60">
        <v>46637</v>
      </c>
    </row>
    <row r="570" spans="2:14" hidden="1" x14ac:dyDescent="0.3">
      <c r="B570" s="56" t="s">
        <v>263</v>
      </c>
      <c r="C570" s="57" t="s">
        <v>883</v>
      </c>
      <c r="D570" s="57" t="s">
        <v>308</v>
      </c>
      <c r="E570" s="57" t="s">
        <v>923</v>
      </c>
      <c r="F570" s="57" t="s">
        <v>784</v>
      </c>
      <c r="G570" t="s">
        <v>927</v>
      </c>
      <c r="H570" t="s">
        <v>927</v>
      </c>
      <c r="I570" s="57" t="s">
        <v>1311</v>
      </c>
      <c r="J570" s="57" t="s">
        <v>1313</v>
      </c>
      <c r="K570" s="57" t="s">
        <v>267</v>
      </c>
      <c r="L570" s="58" t="s">
        <v>311</v>
      </c>
      <c r="M570" s="59">
        <v>46614</v>
      </c>
      <c r="N570" s="60">
        <v>46637</v>
      </c>
    </row>
    <row r="571" spans="2:14" hidden="1" x14ac:dyDescent="0.3">
      <c r="B571" s="56" t="s">
        <v>263</v>
      </c>
      <c r="C571" s="57" t="s">
        <v>883</v>
      </c>
      <c r="D571" s="57" t="s">
        <v>308</v>
      </c>
      <c r="E571" s="57" t="s">
        <v>923</v>
      </c>
      <c r="F571" s="57" t="s">
        <v>784</v>
      </c>
      <c r="G571" t="s">
        <v>929</v>
      </c>
      <c r="H571" t="s">
        <v>929</v>
      </c>
      <c r="I571" s="57" t="s">
        <v>1311</v>
      </c>
      <c r="J571" s="57" t="s">
        <v>1314</v>
      </c>
      <c r="K571" s="57" t="s">
        <v>267</v>
      </c>
      <c r="L571" s="58" t="s">
        <v>311</v>
      </c>
      <c r="M571" s="59">
        <v>46614</v>
      </c>
      <c r="N571" s="60">
        <v>46637</v>
      </c>
    </row>
    <row r="572" spans="2:14" hidden="1" x14ac:dyDescent="0.3">
      <c r="B572" s="56" t="s">
        <v>263</v>
      </c>
      <c r="C572" s="57" t="s">
        <v>883</v>
      </c>
      <c r="D572" s="57" t="s">
        <v>308</v>
      </c>
      <c r="E572" s="57" t="s">
        <v>923</v>
      </c>
      <c r="F572" s="57" t="s">
        <v>784</v>
      </c>
      <c r="G572" t="s">
        <v>931</v>
      </c>
      <c r="H572" t="s">
        <v>931</v>
      </c>
      <c r="I572" s="57" t="s">
        <v>1311</v>
      </c>
      <c r="J572" s="57" t="s">
        <v>1315</v>
      </c>
      <c r="K572" s="57" t="s">
        <v>267</v>
      </c>
      <c r="L572" s="58" t="s">
        <v>311</v>
      </c>
      <c r="M572" s="59">
        <v>46614</v>
      </c>
      <c r="N572" s="60">
        <v>46637</v>
      </c>
    </row>
    <row r="573" spans="2:14" hidden="1" x14ac:dyDescent="0.3">
      <c r="B573" s="56" t="s">
        <v>263</v>
      </c>
      <c r="C573" s="57" t="s">
        <v>883</v>
      </c>
      <c r="D573" s="57" t="s">
        <v>308</v>
      </c>
      <c r="E573" s="57" t="s">
        <v>923</v>
      </c>
      <c r="F573" s="57" t="s">
        <v>784</v>
      </c>
      <c r="G573" t="s">
        <v>933</v>
      </c>
      <c r="H573" t="s">
        <v>933</v>
      </c>
      <c r="I573" s="57" t="s">
        <v>1311</v>
      </c>
      <c r="J573" s="57" t="s">
        <v>1316</v>
      </c>
      <c r="K573" s="57" t="s">
        <v>267</v>
      </c>
      <c r="L573" s="58" t="s">
        <v>311</v>
      </c>
      <c r="M573" s="59">
        <v>46614</v>
      </c>
      <c r="N573" s="60">
        <v>46637</v>
      </c>
    </row>
    <row r="574" spans="2:14" hidden="1" x14ac:dyDescent="0.3">
      <c r="B574" s="56" t="s">
        <v>263</v>
      </c>
      <c r="C574" s="57" t="s">
        <v>883</v>
      </c>
      <c r="D574" s="57" t="s">
        <v>308</v>
      </c>
      <c r="E574" s="57" t="s">
        <v>1001</v>
      </c>
      <c r="F574" s="57" t="s">
        <v>924</v>
      </c>
      <c r="G574" t="s">
        <v>924</v>
      </c>
      <c r="H574" t="s">
        <v>924</v>
      </c>
      <c r="I574" s="57" t="s">
        <v>1317</v>
      </c>
      <c r="J574" s="57" t="s">
        <v>1318</v>
      </c>
      <c r="K574" s="57" t="s">
        <v>267</v>
      </c>
      <c r="L574" s="58" t="s">
        <v>311</v>
      </c>
      <c r="M574" s="59">
        <v>46614</v>
      </c>
      <c r="N574" s="60">
        <v>46637</v>
      </c>
    </row>
    <row r="575" spans="2:14" hidden="1" x14ac:dyDescent="0.3">
      <c r="B575" s="56" t="s">
        <v>263</v>
      </c>
      <c r="C575" s="57" t="s">
        <v>883</v>
      </c>
      <c r="D575" s="57" t="s">
        <v>308</v>
      </c>
      <c r="E575" s="57" t="s">
        <v>1001</v>
      </c>
      <c r="F575" s="57" t="s">
        <v>1005</v>
      </c>
      <c r="G575" t="s">
        <v>1005</v>
      </c>
      <c r="H575" t="s">
        <v>1005</v>
      </c>
      <c r="I575" s="57" t="s">
        <v>1319</v>
      </c>
      <c r="J575" s="57" t="s">
        <v>1320</v>
      </c>
      <c r="K575" s="57" t="s">
        <v>267</v>
      </c>
      <c r="L575" s="58" t="s">
        <v>311</v>
      </c>
      <c r="M575" s="59">
        <v>46614</v>
      </c>
      <c r="N575" s="60">
        <v>46637</v>
      </c>
    </row>
    <row r="576" spans="2:14" hidden="1" x14ac:dyDescent="0.3">
      <c r="B576" s="56" t="s">
        <v>263</v>
      </c>
      <c r="C576" s="57" t="s">
        <v>883</v>
      </c>
      <c r="D576" s="57" t="s">
        <v>308</v>
      </c>
      <c r="E576" s="57" t="s">
        <v>1001</v>
      </c>
      <c r="F576" s="57" t="s">
        <v>1008</v>
      </c>
      <c r="G576" t="s">
        <v>1008</v>
      </c>
      <c r="H576" t="s">
        <v>1008</v>
      </c>
      <c r="I576" s="57" t="s">
        <v>1321</v>
      </c>
      <c r="J576" s="57" t="s">
        <v>1322</v>
      </c>
      <c r="K576" s="57" t="s">
        <v>267</v>
      </c>
      <c r="L576" s="58" t="s">
        <v>311</v>
      </c>
      <c r="M576" s="59">
        <v>46614</v>
      </c>
      <c r="N576" s="60">
        <v>46637</v>
      </c>
    </row>
    <row r="577" spans="2:14" hidden="1" x14ac:dyDescent="0.3">
      <c r="B577" s="56" t="s">
        <v>263</v>
      </c>
      <c r="C577" s="57" t="s">
        <v>883</v>
      </c>
      <c r="D577" s="57" t="s">
        <v>308</v>
      </c>
      <c r="E577" s="57" t="s">
        <v>1001</v>
      </c>
      <c r="F577" s="57" t="s">
        <v>1011</v>
      </c>
      <c r="G577" t="s">
        <v>1011</v>
      </c>
      <c r="H577" t="s">
        <v>1011</v>
      </c>
      <c r="I577" s="57" t="s">
        <v>1323</v>
      </c>
      <c r="J577" s="57" t="s">
        <v>1324</v>
      </c>
      <c r="K577" s="57" t="s">
        <v>267</v>
      </c>
      <c r="L577" s="58" t="s">
        <v>311</v>
      </c>
      <c r="M577" s="59">
        <v>46614</v>
      </c>
      <c r="N577" s="60">
        <v>46637</v>
      </c>
    </row>
    <row r="578" spans="2:14" hidden="1" x14ac:dyDescent="0.3">
      <c r="B578" s="56" t="s">
        <v>263</v>
      </c>
      <c r="C578" s="57" t="s">
        <v>883</v>
      </c>
      <c r="D578" s="57" t="s">
        <v>308</v>
      </c>
      <c r="E578" s="57" t="s">
        <v>1014</v>
      </c>
      <c r="F578" s="57" t="s">
        <v>1015</v>
      </c>
      <c r="G578" t="s">
        <v>1015</v>
      </c>
      <c r="H578" t="s">
        <v>1015</v>
      </c>
      <c r="I578" s="57" t="s">
        <v>1325</v>
      </c>
      <c r="J578" s="57" t="s">
        <v>1326</v>
      </c>
      <c r="K578" s="57" t="s">
        <v>267</v>
      </c>
      <c r="L578" s="58" t="s">
        <v>311</v>
      </c>
      <c r="M578" s="59">
        <v>46638</v>
      </c>
      <c r="N578" s="60">
        <v>46663</v>
      </c>
    </row>
    <row r="579" spans="2:14" hidden="1" x14ac:dyDescent="0.3">
      <c r="B579" s="56" t="s">
        <v>263</v>
      </c>
      <c r="C579" s="57" t="s">
        <v>883</v>
      </c>
      <c r="D579" s="57" t="s">
        <v>308</v>
      </c>
      <c r="E579" s="57" t="s">
        <v>1014</v>
      </c>
      <c r="F579" s="57" t="s">
        <v>1018</v>
      </c>
      <c r="G579" t="s">
        <v>1018</v>
      </c>
      <c r="H579" t="s">
        <v>1018</v>
      </c>
      <c r="I579" s="57" t="s">
        <v>1327</v>
      </c>
      <c r="J579" s="57" t="s">
        <v>1328</v>
      </c>
      <c r="K579" s="57" t="s">
        <v>267</v>
      </c>
      <c r="L579" s="58" t="s">
        <v>311</v>
      </c>
      <c r="M579" s="59">
        <v>46638</v>
      </c>
      <c r="N579" s="60">
        <v>46663</v>
      </c>
    </row>
    <row r="580" spans="2:14" hidden="1" x14ac:dyDescent="0.3">
      <c r="B580" s="56" t="s">
        <v>263</v>
      </c>
      <c r="C580" s="57" t="s">
        <v>883</v>
      </c>
      <c r="D580" s="57" t="s">
        <v>308</v>
      </c>
      <c r="E580" s="57" t="s">
        <v>1014</v>
      </c>
      <c r="F580" s="57" t="s">
        <v>1021</v>
      </c>
      <c r="G580" t="s">
        <v>1021</v>
      </c>
      <c r="H580" t="s">
        <v>1021</v>
      </c>
      <c r="I580" s="57" t="s">
        <v>1329</v>
      </c>
      <c r="J580" s="57" t="s">
        <v>1330</v>
      </c>
      <c r="K580" s="57" t="s">
        <v>267</v>
      </c>
      <c r="L580" s="58" t="s">
        <v>311</v>
      </c>
      <c r="M580" s="59">
        <v>46638</v>
      </c>
      <c r="N580" s="60">
        <v>46663</v>
      </c>
    </row>
    <row r="581" spans="2:14" hidden="1" x14ac:dyDescent="0.3">
      <c r="B581" s="56" t="s">
        <v>263</v>
      </c>
      <c r="C581" s="57" t="s">
        <v>883</v>
      </c>
      <c r="D581" s="57" t="s">
        <v>308</v>
      </c>
      <c r="E581" s="57" t="s">
        <v>1014</v>
      </c>
      <c r="F581" s="57" t="s">
        <v>1024</v>
      </c>
      <c r="G581" t="s">
        <v>1024</v>
      </c>
      <c r="H581" t="s">
        <v>1024</v>
      </c>
      <c r="I581" s="57" t="s">
        <v>1331</v>
      </c>
      <c r="J581" s="57" t="s">
        <v>1332</v>
      </c>
      <c r="K581" s="57" t="s">
        <v>267</v>
      </c>
      <c r="L581" s="58" t="s">
        <v>311</v>
      </c>
      <c r="M581" s="59">
        <v>46638</v>
      </c>
      <c r="N581" s="60">
        <v>46663</v>
      </c>
    </row>
    <row r="582" spans="2:14" hidden="1" x14ac:dyDescent="0.3">
      <c r="B582" s="56" t="s">
        <v>263</v>
      </c>
      <c r="C582" s="57" t="s">
        <v>883</v>
      </c>
      <c r="D582" s="57" t="s">
        <v>308</v>
      </c>
      <c r="E582" s="57" t="s">
        <v>1014</v>
      </c>
      <c r="F582" s="57" t="s">
        <v>1027</v>
      </c>
      <c r="G582" t="s">
        <v>1027</v>
      </c>
      <c r="H582" t="s">
        <v>1027</v>
      </c>
      <c r="I582" s="57" t="s">
        <v>1333</v>
      </c>
      <c r="J582" s="57" t="s">
        <v>1334</v>
      </c>
      <c r="K582" s="57" t="s">
        <v>267</v>
      </c>
      <c r="L582" s="58" t="s">
        <v>311</v>
      </c>
      <c r="M582" s="59">
        <v>46638</v>
      </c>
      <c r="N582" s="60">
        <v>46663</v>
      </c>
    </row>
    <row r="583" spans="2:14" hidden="1" x14ac:dyDescent="0.3">
      <c r="B583" s="56" t="s">
        <v>263</v>
      </c>
      <c r="C583" s="57" t="s">
        <v>883</v>
      </c>
      <c r="D583" s="57" t="s">
        <v>308</v>
      </c>
      <c r="E583" s="57" t="s">
        <v>1014</v>
      </c>
      <c r="F583" s="57" t="s">
        <v>1033</v>
      </c>
      <c r="G583" t="s">
        <v>1033</v>
      </c>
      <c r="H583" t="s">
        <v>1033</v>
      </c>
      <c r="I583" s="57" t="s">
        <v>1335</v>
      </c>
      <c r="J583" s="57" t="s">
        <v>1336</v>
      </c>
      <c r="K583" s="57" t="s">
        <v>267</v>
      </c>
      <c r="L583" s="58" t="s">
        <v>311</v>
      </c>
      <c r="M583" s="59">
        <v>46638</v>
      </c>
      <c r="N583" s="60">
        <v>46663</v>
      </c>
    </row>
    <row r="584" spans="2:14" hidden="1" x14ac:dyDescent="0.3">
      <c r="B584" s="56" t="s">
        <v>263</v>
      </c>
      <c r="C584" s="57" t="s">
        <v>883</v>
      </c>
      <c r="D584" s="57" t="s">
        <v>308</v>
      </c>
      <c r="E584" s="57" t="s">
        <v>1036</v>
      </c>
      <c r="F584" s="57" t="s">
        <v>1048</v>
      </c>
      <c r="G584" t="s">
        <v>1048</v>
      </c>
      <c r="H584" t="s">
        <v>1048</v>
      </c>
      <c r="I584" s="57" t="s">
        <v>1337</v>
      </c>
      <c r="J584" s="57" t="s">
        <v>1338</v>
      </c>
      <c r="K584" s="57" t="s">
        <v>267</v>
      </c>
      <c r="L584" s="58" t="s">
        <v>311</v>
      </c>
      <c r="M584" s="59">
        <v>46638</v>
      </c>
      <c r="N584" s="60">
        <v>46663</v>
      </c>
    </row>
    <row r="585" spans="2:14" hidden="1" x14ac:dyDescent="0.3">
      <c r="B585" s="56" t="s">
        <v>263</v>
      </c>
      <c r="C585" s="57" t="s">
        <v>883</v>
      </c>
      <c r="D585" s="57" t="s">
        <v>1339</v>
      </c>
      <c r="E585" s="57" t="s">
        <v>1340</v>
      </c>
      <c r="F585" s="57" t="s">
        <v>924</v>
      </c>
      <c r="G585" t="s">
        <v>924</v>
      </c>
      <c r="H585" t="s">
        <v>924</v>
      </c>
      <c r="I585" s="57" t="s">
        <v>1341</v>
      </c>
      <c r="J585" s="57" t="s">
        <v>1342</v>
      </c>
      <c r="K585" s="57" t="s">
        <v>267</v>
      </c>
      <c r="L585" s="58" t="s">
        <v>311</v>
      </c>
      <c r="M585" s="59">
        <v>46510</v>
      </c>
      <c r="N585" s="60">
        <v>46538</v>
      </c>
    </row>
    <row r="586" spans="2:14" hidden="1" x14ac:dyDescent="0.3">
      <c r="B586" s="56" t="s">
        <v>263</v>
      </c>
      <c r="C586" s="57" t="s">
        <v>883</v>
      </c>
      <c r="D586" s="57" t="s">
        <v>1339</v>
      </c>
      <c r="E586" s="57" t="s">
        <v>1340</v>
      </c>
      <c r="F586" s="57" t="s">
        <v>1043</v>
      </c>
      <c r="G586" t="s">
        <v>1043</v>
      </c>
      <c r="H586" t="s">
        <v>1043</v>
      </c>
      <c r="I586" s="57" t="s">
        <v>1343</v>
      </c>
      <c r="J586" s="57" t="s">
        <v>1344</v>
      </c>
      <c r="K586" s="57" t="s">
        <v>267</v>
      </c>
      <c r="L586" s="58" t="s">
        <v>311</v>
      </c>
      <c r="M586" s="59">
        <v>46510</v>
      </c>
      <c r="N586" s="60">
        <v>46538</v>
      </c>
    </row>
    <row r="587" spans="2:14" hidden="1" x14ac:dyDescent="0.3">
      <c r="B587" s="56" t="s">
        <v>263</v>
      </c>
      <c r="C587" s="57" t="s">
        <v>883</v>
      </c>
      <c r="D587" s="57" t="s">
        <v>1339</v>
      </c>
      <c r="E587" s="57" t="s">
        <v>1340</v>
      </c>
      <c r="F587" s="57" t="s">
        <v>888</v>
      </c>
      <c r="G587" t="s">
        <v>888</v>
      </c>
      <c r="H587" t="s">
        <v>888</v>
      </c>
      <c r="I587" s="57" t="s">
        <v>1345</v>
      </c>
      <c r="J587" s="57" t="s">
        <v>1346</v>
      </c>
      <c r="K587" s="57" t="s">
        <v>267</v>
      </c>
      <c r="L587" s="58" t="s">
        <v>311</v>
      </c>
      <c r="M587" s="59">
        <v>46510</v>
      </c>
      <c r="N587" s="60">
        <v>46538</v>
      </c>
    </row>
    <row r="588" spans="2:14" hidden="1" x14ac:dyDescent="0.3">
      <c r="B588" s="56" t="s">
        <v>263</v>
      </c>
      <c r="C588" s="57" t="s">
        <v>883</v>
      </c>
      <c r="D588" s="57" t="s">
        <v>1339</v>
      </c>
      <c r="E588" s="57" t="s">
        <v>1347</v>
      </c>
      <c r="F588" s="57" t="s">
        <v>924</v>
      </c>
      <c r="G588" t="s">
        <v>924</v>
      </c>
      <c r="H588" t="s">
        <v>924</v>
      </c>
      <c r="I588" s="57" t="s">
        <v>1348</v>
      </c>
      <c r="J588" s="57" t="s">
        <v>1349</v>
      </c>
      <c r="K588" s="57" t="s">
        <v>267</v>
      </c>
      <c r="L588" s="58" t="s">
        <v>311</v>
      </c>
      <c r="M588" s="59">
        <v>46510</v>
      </c>
      <c r="N588" s="60">
        <v>46538</v>
      </c>
    </row>
    <row r="589" spans="2:14" hidden="1" x14ac:dyDescent="0.3">
      <c r="B589" s="56" t="s">
        <v>263</v>
      </c>
      <c r="C589" s="57" t="s">
        <v>883</v>
      </c>
      <c r="D589" s="57" t="s">
        <v>1339</v>
      </c>
      <c r="E589" s="57" t="s">
        <v>1347</v>
      </c>
      <c r="F589" s="57" t="s">
        <v>1043</v>
      </c>
      <c r="G589" t="s">
        <v>1043</v>
      </c>
      <c r="H589" t="s">
        <v>1043</v>
      </c>
      <c r="I589" s="57" t="s">
        <v>1350</v>
      </c>
      <c r="J589" s="57" t="s">
        <v>1351</v>
      </c>
      <c r="K589" s="57" t="s">
        <v>267</v>
      </c>
      <c r="L589" s="58" t="s">
        <v>311</v>
      </c>
      <c r="M589" s="59">
        <v>46510</v>
      </c>
      <c r="N589" s="60">
        <v>46538</v>
      </c>
    </row>
    <row r="590" spans="2:14" hidden="1" x14ac:dyDescent="0.3">
      <c r="B590" s="56" t="s">
        <v>263</v>
      </c>
      <c r="C590" s="57" t="s">
        <v>883</v>
      </c>
      <c r="D590" s="57" t="s">
        <v>1339</v>
      </c>
      <c r="E590" s="57" t="s">
        <v>1347</v>
      </c>
      <c r="F590" s="57" t="s">
        <v>888</v>
      </c>
      <c r="G590" t="s">
        <v>888</v>
      </c>
      <c r="H590" t="s">
        <v>888</v>
      </c>
      <c r="I590" s="57" t="s">
        <v>1352</v>
      </c>
      <c r="J590" s="57" t="s">
        <v>1353</v>
      </c>
      <c r="K590" s="57" t="s">
        <v>267</v>
      </c>
      <c r="L590" s="58" t="s">
        <v>311</v>
      </c>
      <c r="M590" s="59">
        <v>46510</v>
      </c>
      <c r="N590" s="60">
        <v>46538</v>
      </c>
    </row>
    <row r="591" spans="2:14" hidden="1" x14ac:dyDescent="0.3">
      <c r="B591" s="56" t="s">
        <v>263</v>
      </c>
      <c r="C591" s="57" t="s">
        <v>883</v>
      </c>
      <c r="D591" s="57" t="s">
        <v>1339</v>
      </c>
      <c r="E591" s="57" t="s">
        <v>1354</v>
      </c>
      <c r="F591" s="57" t="s">
        <v>924</v>
      </c>
      <c r="G591" t="s">
        <v>924</v>
      </c>
      <c r="H591" t="s">
        <v>924</v>
      </c>
      <c r="I591" s="57" t="s">
        <v>1355</v>
      </c>
      <c r="J591" s="57" t="s">
        <v>1356</v>
      </c>
      <c r="K591" s="57" t="s">
        <v>267</v>
      </c>
      <c r="L591" s="58" t="s">
        <v>311</v>
      </c>
      <c r="M591" s="59">
        <v>46510</v>
      </c>
      <c r="N591" s="60">
        <v>46538</v>
      </c>
    </row>
    <row r="592" spans="2:14" hidden="1" x14ac:dyDescent="0.3">
      <c r="B592" s="56" t="s">
        <v>263</v>
      </c>
      <c r="C592" s="57" t="s">
        <v>883</v>
      </c>
      <c r="D592" s="57" t="s">
        <v>1339</v>
      </c>
      <c r="E592" s="57" t="s">
        <v>1354</v>
      </c>
      <c r="F592" s="57" t="s">
        <v>1043</v>
      </c>
      <c r="G592" t="s">
        <v>1043</v>
      </c>
      <c r="H592" t="s">
        <v>1043</v>
      </c>
      <c r="I592" s="57" t="s">
        <v>1357</v>
      </c>
      <c r="J592" s="57" t="s">
        <v>1358</v>
      </c>
      <c r="K592" s="57" t="s">
        <v>267</v>
      </c>
      <c r="L592" s="58" t="s">
        <v>311</v>
      </c>
      <c r="M592" s="59">
        <v>46510</v>
      </c>
      <c r="N592" s="60">
        <v>46538</v>
      </c>
    </row>
    <row r="593" spans="2:14" hidden="1" x14ac:dyDescent="0.3">
      <c r="B593" s="56" t="s">
        <v>263</v>
      </c>
      <c r="C593" s="57" t="s">
        <v>883</v>
      </c>
      <c r="D593" s="57" t="s">
        <v>1339</v>
      </c>
      <c r="E593" s="57" t="s">
        <v>1354</v>
      </c>
      <c r="F593" s="57" t="s">
        <v>888</v>
      </c>
      <c r="G593" t="s">
        <v>888</v>
      </c>
      <c r="H593" t="s">
        <v>888</v>
      </c>
      <c r="I593" s="57" t="s">
        <v>1359</v>
      </c>
      <c r="J593" s="57" t="s">
        <v>1360</v>
      </c>
      <c r="K593" s="57" t="s">
        <v>267</v>
      </c>
      <c r="L593" s="58" t="s">
        <v>311</v>
      </c>
      <c r="M593" s="59">
        <v>46510</v>
      </c>
      <c r="N593" s="60">
        <v>46538</v>
      </c>
    </row>
    <row r="594" spans="2:14" hidden="1" x14ac:dyDescent="0.3">
      <c r="B594" s="56" t="s">
        <v>263</v>
      </c>
      <c r="C594" s="57" t="s">
        <v>883</v>
      </c>
      <c r="D594" s="57" t="s">
        <v>1339</v>
      </c>
      <c r="E594" s="57" t="s">
        <v>1361</v>
      </c>
      <c r="F594" s="57" t="s">
        <v>924</v>
      </c>
      <c r="G594" t="s">
        <v>924</v>
      </c>
      <c r="H594" t="s">
        <v>924</v>
      </c>
      <c r="I594" s="57" t="s">
        <v>1362</v>
      </c>
      <c r="J594" s="57" t="s">
        <v>1363</v>
      </c>
      <c r="K594" s="57" t="s">
        <v>267</v>
      </c>
      <c r="L594" s="58" t="s">
        <v>311</v>
      </c>
      <c r="M594" s="59">
        <v>46510</v>
      </c>
      <c r="N594" s="60">
        <v>46538</v>
      </c>
    </row>
    <row r="595" spans="2:14" hidden="1" x14ac:dyDescent="0.3">
      <c r="B595" s="56" t="s">
        <v>263</v>
      </c>
      <c r="C595" s="57" t="s">
        <v>883</v>
      </c>
      <c r="D595" s="57" t="s">
        <v>1339</v>
      </c>
      <c r="E595" s="57" t="s">
        <v>1361</v>
      </c>
      <c r="F595" s="57" t="s">
        <v>1043</v>
      </c>
      <c r="G595" t="s">
        <v>1043</v>
      </c>
      <c r="H595" t="s">
        <v>1043</v>
      </c>
      <c r="I595" s="57" t="s">
        <v>1364</v>
      </c>
      <c r="J595" s="57" t="s">
        <v>1365</v>
      </c>
      <c r="K595" s="57" t="s">
        <v>267</v>
      </c>
      <c r="L595" s="58" t="s">
        <v>311</v>
      </c>
      <c r="M595" s="59">
        <v>46510</v>
      </c>
      <c r="N595" s="60">
        <v>46538</v>
      </c>
    </row>
    <row r="596" spans="2:14" hidden="1" x14ac:dyDescent="0.3">
      <c r="B596" s="56" t="s">
        <v>263</v>
      </c>
      <c r="C596" s="57" t="s">
        <v>883</v>
      </c>
      <c r="D596" s="57" t="s">
        <v>1339</v>
      </c>
      <c r="E596" s="57" t="s">
        <v>1361</v>
      </c>
      <c r="F596" s="57" t="s">
        <v>888</v>
      </c>
      <c r="G596" t="s">
        <v>888</v>
      </c>
      <c r="H596" t="s">
        <v>888</v>
      </c>
      <c r="I596" s="57" t="s">
        <v>1366</v>
      </c>
      <c r="J596" s="57" t="s">
        <v>1367</v>
      </c>
      <c r="K596" s="57" t="s">
        <v>267</v>
      </c>
      <c r="L596" s="58" t="s">
        <v>311</v>
      </c>
      <c r="M596" s="59">
        <v>46510</v>
      </c>
      <c r="N596" s="60">
        <v>46538</v>
      </c>
    </row>
    <row r="597" spans="2:14" hidden="1" x14ac:dyDescent="0.3">
      <c r="B597" s="56" t="s">
        <v>263</v>
      </c>
      <c r="C597" s="57" t="s">
        <v>883</v>
      </c>
      <c r="D597" s="57" t="s">
        <v>1339</v>
      </c>
      <c r="E597" s="57" t="s">
        <v>1368</v>
      </c>
      <c r="F597" s="57" t="s">
        <v>924</v>
      </c>
      <c r="G597" t="s">
        <v>924</v>
      </c>
      <c r="H597" t="s">
        <v>924</v>
      </c>
      <c r="I597" s="57" t="s">
        <v>1369</v>
      </c>
      <c r="J597" s="57" t="s">
        <v>1370</v>
      </c>
      <c r="K597" s="57" t="s">
        <v>267</v>
      </c>
      <c r="L597" s="58" t="s">
        <v>311</v>
      </c>
      <c r="M597" s="59">
        <v>46510</v>
      </c>
      <c r="N597" s="60">
        <v>46538</v>
      </c>
    </row>
    <row r="598" spans="2:14" hidden="1" x14ac:dyDescent="0.3">
      <c r="B598" s="56" t="s">
        <v>263</v>
      </c>
      <c r="C598" s="57" t="s">
        <v>883</v>
      </c>
      <c r="D598" s="57" t="s">
        <v>1339</v>
      </c>
      <c r="E598" s="57" t="s">
        <v>1368</v>
      </c>
      <c r="F598" s="57" t="s">
        <v>1043</v>
      </c>
      <c r="G598" t="s">
        <v>1043</v>
      </c>
      <c r="H598" t="s">
        <v>1043</v>
      </c>
      <c r="I598" s="57" t="s">
        <v>1371</v>
      </c>
      <c r="J598" s="57" t="s">
        <v>1372</v>
      </c>
      <c r="K598" s="57" t="s">
        <v>267</v>
      </c>
      <c r="L598" s="58" t="s">
        <v>311</v>
      </c>
      <c r="M598" s="59">
        <v>46510</v>
      </c>
      <c r="N598" s="60">
        <v>46538</v>
      </c>
    </row>
    <row r="599" spans="2:14" hidden="1" x14ac:dyDescent="0.3">
      <c r="B599" s="56" t="s">
        <v>263</v>
      </c>
      <c r="C599" s="57" t="s">
        <v>883</v>
      </c>
      <c r="D599" s="57" t="s">
        <v>1339</v>
      </c>
      <c r="E599" s="57" t="s">
        <v>1368</v>
      </c>
      <c r="F599" s="57" t="s">
        <v>888</v>
      </c>
      <c r="G599" t="s">
        <v>888</v>
      </c>
      <c r="H599" t="s">
        <v>888</v>
      </c>
      <c r="I599" s="57" t="s">
        <v>1373</v>
      </c>
      <c r="J599" s="57" t="s">
        <v>1374</v>
      </c>
      <c r="K599" s="57" t="s">
        <v>267</v>
      </c>
      <c r="L599" s="58" t="s">
        <v>311</v>
      </c>
      <c r="M599" s="59">
        <v>46510</v>
      </c>
      <c r="N599" s="60">
        <v>46538</v>
      </c>
    </row>
    <row r="600" spans="2:14" hidden="1" x14ac:dyDescent="0.3">
      <c r="B600" s="56" t="s">
        <v>263</v>
      </c>
      <c r="C600" s="57" t="s">
        <v>883</v>
      </c>
      <c r="D600" s="57" t="s">
        <v>1339</v>
      </c>
      <c r="E600" s="57" t="s">
        <v>1375</v>
      </c>
      <c r="F600" s="57" t="s">
        <v>924</v>
      </c>
      <c r="G600" t="s">
        <v>924</v>
      </c>
      <c r="H600" t="s">
        <v>924</v>
      </c>
      <c r="I600" s="57" t="s">
        <v>1376</v>
      </c>
      <c r="J600" s="57" t="s">
        <v>1377</v>
      </c>
      <c r="K600" s="57" t="s">
        <v>267</v>
      </c>
      <c r="L600" s="58" t="s">
        <v>311</v>
      </c>
      <c r="M600" s="59">
        <v>46510</v>
      </c>
      <c r="N600" s="60">
        <v>46538</v>
      </c>
    </row>
    <row r="601" spans="2:14" hidden="1" x14ac:dyDescent="0.3">
      <c r="B601" s="56" t="s">
        <v>263</v>
      </c>
      <c r="C601" s="57" t="s">
        <v>883</v>
      </c>
      <c r="D601" s="57" t="s">
        <v>1339</v>
      </c>
      <c r="E601" s="57" t="s">
        <v>1375</v>
      </c>
      <c r="F601" s="57" t="s">
        <v>1043</v>
      </c>
      <c r="G601" t="s">
        <v>1043</v>
      </c>
      <c r="H601" t="s">
        <v>1043</v>
      </c>
      <c r="I601" s="57" t="s">
        <v>1378</v>
      </c>
      <c r="J601" s="57" t="s">
        <v>1379</v>
      </c>
      <c r="K601" s="57" t="s">
        <v>267</v>
      </c>
      <c r="L601" s="58" t="s">
        <v>311</v>
      </c>
      <c r="M601" s="59">
        <v>46510</v>
      </c>
      <c r="N601" s="60">
        <v>46538</v>
      </c>
    </row>
    <row r="602" spans="2:14" hidden="1" x14ac:dyDescent="0.3">
      <c r="B602" s="56" t="s">
        <v>263</v>
      </c>
      <c r="C602" s="57" t="s">
        <v>883</v>
      </c>
      <c r="D602" s="57" t="s">
        <v>1339</v>
      </c>
      <c r="E602" s="57" t="s">
        <v>1375</v>
      </c>
      <c r="F602" s="57" t="s">
        <v>888</v>
      </c>
      <c r="G602" t="s">
        <v>888</v>
      </c>
      <c r="H602" t="s">
        <v>888</v>
      </c>
      <c r="I602" s="57" t="s">
        <v>1380</v>
      </c>
      <c r="J602" s="57" t="s">
        <v>1381</v>
      </c>
      <c r="K602" s="57" t="s">
        <v>267</v>
      </c>
      <c r="L602" s="58" t="s">
        <v>311</v>
      </c>
      <c r="M602" s="59">
        <v>46510</v>
      </c>
      <c r="N602" s="60">
        <v>46538</v>
      </c>
    </row>
    <row r="603" spans="2:14" hidden="1" x14ac:dyDescent="0.3">
      <c r="B603" s="56" t="s">
        <v>263</v>
      </c>
      <c r="C603" s="57" t="s">
        <v>883</v>
      </c>
      <c r="D603" s="57" t="s">
        <v>1339</v>
      </c>
      <c r="E603" s="57" t="s">
        <v>1382</v>
      </c>
      <c r="F603" s="57" t="s">
        <v>924</v>
      </c>
      <c r="G603" t="s">
        <v>924</v>
      </c>
      <c r="H603" t="s">
        <v>924</v>
      </c>
      <c r="I603" s="57" t="s">
        <v>1383</v>
      </c>
      <c r="J603" s="57" t="s">
        <v>1384</v>
      </c>
      <c r="K603" s="57" t="s">
        <v>267</v>
      </c>
      <c r="L603" s="58" t="s">
        <v>311</v>
      </c>
      <c r="M603" s="59">
        <v>46510</v>
      </c>
      <c r="N603" s="60">
        <v>46538</v>
      </c>
    </row>
    <row r="604" spans="2:14" hidden="1" x14ac:dyDescent="0.3">
      <c r="B604" s="56" t="s">
        <v>263</v>
      </c>
      <c r="C604" s="57" t="s">
        <v>883</v>
      </c>
      <c r="D604" s="57" t="s">
        <v>1339</v>
      </c>
      <c r="E604" s="57" t="s">
        <v>1382</v>
      </c>
      <c r="F604" s="57" t="s">
        <v>1043</v>
      </c>
      <c r="G604" t="s">
        <v>1043</v>
      </c>
      <c r="H604" t="s">
        <v>1043</v>
      </c>
      <c r="I604" s="57" t="s">
        <v>1385</v>
      </c>
      <c r="J604" s="57" t="s">
        <v>1386</v>
      </c>
      <c r="K604" s="57" t="s">
        <v>267</v>
      </c>
      <c r="L604" s="58" t="s">
        <v>311</v>
      </c>
      <c r="M604" s="59">
        <v>46510</v>
      </c>
      <c r="N604" s="60">
        <v>46538</v>
      </c>
    </row>
    <row r="605" spans="2:14" hidden="1" x14ac:dyDescent="0.3">
      <c r="B605" s="56" t="s">
        <v>263</v>
      </c>
      <c r="C605" s="57" t="s">
        <v>883</v>
      </c>
      <c r="D605" s="57" t="s">
        <v>1339</v>
      </c>
      <c r="E605" s="57" t="s">
        <v>1382</v>
      </c>
      <c r="F605" s="57" t="s">
        <v>888</v>
      </c>
      <c r="G605" t="s">
        <v>888</v>
      </c>
      <c r="H605" t="s">
        <v>888</v>
      </c>
      <c r="I605" s="57" t="s">
        <v>1387</v>
      </c>
      <c r="J605" s="57" t="s">
        <v>1388</v>
      </c>
      <c r="K605" s="57" t="s">
        <v>267</v>
      </c>
      <c r="L605" s="58" t="s">
        <v>311</v>
      </c>
      <c r="M605" s="59">
        <v>46510</v>
      </c>
      <c r="N605" s="60">
        <v>46538</v>
      </c>
    </row>
    <row r="606" spans="2:14" hidden="1" x14ac:dyDescent="0.3">
      <c r="B606" s="56" t="s">
        <v>263</v>
      </c>
      <c r="C606" s="57" t="s">
        <v>883</v>
      </c>
      <c r="D606" s="57" t="s">
        <v>1339</v>
      </c>
      <c r="E606" s="57" t="s">
        <v>1389</v>
      </c>
      <c r="F606" s="57" t="s">
        <v>924</v>
      </c>
      <c r="G606" t="s">
        <v>924</v>
      </c>
      <c r="H606" t="s">
        <v>924</v>
      </c>
      <c r="I606" s="57" t="s">
        <v>1390</v>
      </c>
      <c r="J606" s="57" t="s">
        <v>1391</v>
      </c>
      <c r="K606" s="57" t="s">
        <v>267</v>
      </c>
      <c r="L606" s="58" t="s">
        <v>311</v>
      </c>
      <c r="M606" s="59">
        <v>46510</v>
      </c>
      <c r="N606" s="60">
        <v>46538</v>
      </c>
    </row>
    <row r="607" spans="2:14" hidden="1" x14ac:dyDescent="0.3">
      <c r="B607" s="56" t="s">
        <v>263</v>
      </c>
      <c r="C607" s="57" t="s">
        <v>883</v>
      </c>
      <c r="D607" s="57" t="s">
        <v>1339</v>
      </c>
      <c r="E607" s="57" t="s">
        <v>1389</v>
      </c>
      <c r="F607" s="57" t="s">
        <v>1043</v>
      </c>
      <c r="G607" t="s">
        <v>1043</v>
      </c>
      <c r="H607" t="s">
        <v>1043</v>
      </c>
      <c r="I607" s="57" t="s">
        <v>1392</v>
      </c>
      <c r="J607" s="57" t="s">
        <v>1393</v>
      </c>
      <c r="K607" s="57" t="s">
        <v>267</v>
      </c>
      <c r="L607" s="58" t="s">
        <v>311</v>
      </c>
      <c r="M607" s="59">
        <v>46510</v>
      </c>
      <c r="N607" s="60">
        <v>46538</v>
      </c>
    </row>
    <row r="608" spans="2:14" hidden="1" x14ac:dyDescent="0.3">
      <c r="B608" s="56" t="s">
        <v>263</v>
      </c>
      <c r="C608" s="57" t="s">
        <v>883</v>
      </c>
      <c r="D608" s="57" t="s">
        <v>1339</v>
      </c>
      <c r="E608" s="57" t="s">
        <v>1389</v>
      </c>
      <c r="F608" s="57" t="s">
        <v>888</v>
      </c>
      <c r="G608" t="s">
        <v>888</v>
      </c>
      <c r="H608" t="s">
        <v>888</v>
      </c>
      <c r="I608" s="57" t="s">
        <v>1394</v>
      </c>
      <c r="J608" s="57" t="s">
        <v>1395</v>
      </c>
      <c r="K608" s="57" t="s">
        <v>267</v>
      </c>
      <c r="L608" s="58" t="s">
        <v>311</v>
      </c>
      <c r="M608" s="59">
        <v>46510</v>
      </c>
      <c r="N608" s="60">
        <v>46538</v>
      </c>
    </row>
    <row r="609" spans="2:14" hidden="1" x14ac:dyDescent="0.3">
      <c r="B609" s="56" t="s">
        <v>263</v>
      </c>
      <c r="C609" s="57" t="s">
        <v>883</v>
      </c>
      <c r="D609" s="57" t="s">
        <v>1339</v>
      </c>
      <c r="E609" s="57" t="s">
        <v>1396</v>
      </c>
      <c r="F609" s="57" t="s">
        <v>924</v>
      </c>
      <c r="G609" t="s">
        <v>924</v>
      </c>
      <c r="H609" t="s">
        <v>924</v>
      </c>
      <c r="I609" s="57" t="s">
        <v>1397</v>
      </c>
      <c r="J609" s="57" t="s">
        <v>1398</v>
      </c>
      <c r="K609" s="57" t="s">
        <v>267</v>
      </c>
      <c r="L609" s="58" t="s">
        <v>311</v>
      </c>
      <c r="M609" s="59">
        <v>46539</v>
      </c>
      <c r="N609" s="60">
        <v>46562</v>
      </c>
    </row>
    <row r="610" spans="2:14" hidden="1" x14ac:dyDescent="0.3">
      <c r="B610" s="56" t="s">
        <v>263</v>
      </c>
      <c r="C610" s="57" t="s">
        <v>883</v>
      </c>
      <c r="D610" s="57" t="s">
        <v>1339</v>
      </c>
      <c r="E610" s="57" t="s">
        <v>1396</v>
      </c>
      <c r="F610" s="57" t="s">
        <v>1043</v>
      </c>
      <c r="G610" t="s">
        <v>1043</v>
      </c>
      <c r="H610" t="s">
        <v>1043</v>
      </c>
      <c r="I610" s="57" t="s">
        <v>1399</v>
      </c>
      <c r="J610" s="57" t="s">
        <v>1400</v>
      </c>
      <c r="K610" s="57" t="s">
        <v>267</v>
      </c>
      <c r="L610" s="58" t="s">
        <v>311</v>
      </c>
      <c r="M610" s="59">
        <v>46510</v>
      </c>
      <c r="N610" s="60">
        <v>46538</v>
      </c>
    </row>
    <row r="611" spans="2:14" hidden="1" x14ac:dyDescent="0.3">
      <c r="B611" s="56" t="s">
        <v>263</v>
      </c>
      <c r="C611" s="57" t="s">
        <v>883</v>
      </c>
      <c r="D611" s="57" t="s">
        <v>1339</v>
      </c>
      <c r="E611" s="57" t="s">
        <v>1396</v>
      </c>
      <c r="F611" s="57" t="s">
        <v>888</v>
      </c>
      <c r="G611" t="s">
        <v>888</v>
      </c>
      <c r="H611" t="s">
        <v>888</v>
      </c>
      <c r="I611" s="57" t="s">
        <v>1401</v>
      </c>
      <c r="J611" s="57" t="s">
        <v>1402</v>
      </c>
      <c r="K611" s="57" t="s">
        <v>267</v>
      </c>
      <c r="L611" s="58" t="s">
        <v>311</v>
      </c>
      <c r="M611" s="59">
        <v>46510</v>
      </c>
      <c r="N611" s="60">
        <v>46538</v>
      </c>
    </row>
    <row r="612" spans="2:14" hidden="1" x14ac:dyDescent="0.3">
      <c r="B612" s="56" t="s">
        <v>263</v>
      </c>
      <c r="C612" s="57" t="s">
        <v>883</v>
      </c>
      <c r="D612" s="57" t="s">
        <v>1339</v>
      </c>
      <c r="E612" s="57" t="s">
        <v>1403</v>
      </c>
      <c r="F612" s="57" t="s">
        <v>924</v>
      </c>
      <c r="G612" t="s">
        <v>924</v>
      </c>
      <c r="H612" t="s">
        <v>924</v>
      </c>
      <c r="I612" s="57" t="s">
        <v>1404</v>
      </c>
      <c r="J612" s="57" t="s">
        <v>1405</v>
      </c>
      <c r="K612" s="57" t="s">
        <v>267</v>
      </c>
      <c r="L612" s="58" t="s">
        <v>311</v>
      </c>
      <c r="M612" s="59">
        <v>46510</v>
      </c>
      <c r="N612" s="60">
        <v>46538</v>
      </c>
    </row>
    <row r="613" spans="2:14" hidden="1" x14ac:dyDescent="0.3">
      <c r="B613" s="56" t="s">
        <v>263</v>
      </c>
      <c r="C613" s="57" t="s">
        <v>883</v>
      </c>
      <c r="D613" s="57" t="s">
        <v>1339</v>
      </c>
      <c r="E613" s="57" t="s">
        <v>1403</v>
      </c>
      <c r="F613" s="57" t="s">
        <v>1043</v>
      </c>
      <c r="G613" t="s">
        <v>1043</v>
      </c>
      <c r="H613" t="s">
        <v>1043</v>
      </c>
      <c r="I613" s="57" t="s">
        <v>1406</v>
      </c>
      <c r="J613" s="57" t="s">
        <v>1407</v>
      </c>
      <c r="K613" s="57" t="s">
        <v>267</v>
      </c>
      <c r="L613" s="58" t="s">
        <v>311</v>
      </c>
      <c r="M613" s="59">
        <v>46510</v>
      </c>
      <c r="N613" s="60">
        <v>46538</v>
      </c>
    </row>
    <row r="614" spans="2:14" hidden="1" x14ac:dyDescent="0.3">
      <c r="B614" s="56" t="s">
        <v>263</v>
      </c>
      <c r="C614" s="57" t="s">
        <v>883</v>
      </c>
      <c r="D614" s="57" t="s">
        <v>1339</v>
      </c>
      <c r="E614" s="57" t="s">
        <v>1403</v>
      </c>
      <c r="F614" s="57" t="s">
        <v>888</v>
      </c>
      <c r="G614" t="s">
        <v>888</v>
      </c>
      <c r="H614" t="s">
        <v>888</v>
      </c>
      <c r="I614" s="57" t="s">
        <v>1408</v>
      </c>
      <c r="J614" s="57" t="s">
        <v>1409</v>
      </c>
      <c r="K614" s="57" t="s">
        <v>267</v>
      </c>
      <c r="L614" s="58" t="s">
        <v>311</v>
      </c>
      <c r="M614" s="59">
        <v>46510</v>
      </c>
      <c r="N614" s="60">
        <v>46538</v>
      </c>
    </row>
    <row r="615" spans="2:14" hidden="1" x14ac:dyDescent="0.3">
      <c r="B615" s="56" t="s">
        <v>263</v>
      </c>
      <c r="C615" s="57" t="s">
        <v>883</v>
      </c>
      <c r="D615" s="57" t="s">
        <v>1339</v>
      </c>
      <c r="E615" s="57" t="s">
        <v>1410</v>
      </c>
      <c r="F615" s="57" t="s">
        <v>924</v>
      </c>
      <c r="G615" t="s">
        <v>924</v>
      </c>
      <c r="H615" t="s">
        <v>924</v>
      </c>
      <c r="I615" s="57" t="s">
        <v>1411</v>
      </c>
      <c r="J615" s="57" t="s">
        <v>1412</v>
      </c>
      <c r="K615" s="57" t="s">
        <v>267</v>
      </c>
      <c r="L615" s="58" t="s">
        <v>311</v>
      </c>
      <c r="M615" s="59">
        <v>46510</v>
      </c>
      <c r="N615" s="60">
        <v>46538</v>
      </c>
    </row>
    <row r="616" spans="2:14" hidden="1" x14ac:dyDescent="0.3">
      <c r="B616" s="56" t="s">
        <v>263</v>
      </c>
      <c r="C616" s="57" t="s">
        <v>883</v>
      </c>
      <c r="D616" s="57" t="s">
        <v>1339</v>
      </c>
      <c r="E616" s="57" t="s">
        <v>1410</v>
      </c>
      <c r="F616" s="57" t="s">
        <v>1043</v>
      </c>
      <c r="G616" t="s">
        <v>1043</v>
      </c>
      <c r="H616" t="s">
        <v>1043</v>
      </c>
      <c r="I616" s="57" t="s">
        <v>1413</v>
      </c>
      <c r="J616" s="57" t="s">
        <v>1414</v>
      </c>
      <c r="K616" s="57" t="s">
        <v>267</v>
      </c>
      <c r="L616" s="58" t="s">
        <v>311</v>
      </c>
      <c r="M616" s="59">
        <v>46510</v>
      </c>
      <c r="N616" s="60">
        <v>46538</v>
      </c>
    </row>
    <row r="617" spans="2:14" hidden="1" x14ac:dyDescent="0.3">
      <c r="B617" s="56" t="s">
        <v>263</v>
      </c>
      <c r="C617" s="57" t="s">
        <v>883</v>
      </c>
      <c r="D617" s="57" t="s">
        <v>1339</v>
      </c>
      <c r="E617" s="57" t="s">
        <v>1410</v>
      </c>
      <c r="F617" s="57" t="s">
        <v>888</v>
      </c>
      <c r="G617" t="s">
        <v>888</v>
      </c>
      <c r="H617" t="s">
        <v>888</v>
      </c>
      <c r="I617" s="57" t="s">
        <v>1415</v>
      </c>
      <c r="J617" s="57" t="s">
        <v>1416</v>
      </c>
      <c r="K617" s="57" t="s">
        <v>267</v>
      </c>
      <c r="L617" s="58" t="s">
        <v>311</v>
      </c>
      <c r="M617" s="59">
        <v>46510</v>
      </c>
      <c r="N617" s="60">
        <v>46538</v>
      </c>
    </row>
    <row r="618" spans="2:14" hidden="1" x14ac:dyDescent="0.3">
      <c r="B618" s="56" t="s">
        <v>263</v>
      </c>
      <c r="C618" s="57" t="s">
        <v>883</v>
      </c>
      <c r="D618" s="57" t="s">
        <v>1339</v>
      </c>
      <c r="E618" s="57" t="s">
        <v>1417</v>
      </c>
      <c r="F618" s="57" t="s">
        <v>924</v>
      </c>
      <c r="G618" t="s">
        <v>924</v>
      </c>
      <c r="H618" t="s">
        <v>924</v>
      </c>
      <c r="I618" s="57" t="s">
        <v>1418</v>
      </c>
      <c r="J618" s="57" t="s">
        <v>1419</v>
      </c>
      <c r="K618" s="57" t="s">
        <v>267</v>
      </c>
      <c r="L618" s="58" t="s">
        <v>311</v>
      </c>
      <c r="M618" s="59">
        <v>46510</v>
      </c>
      <c r="N618" s="60">
        <v>46538</v>
      </c>
    </row>
    <row r="619" spans="2:14" hidden="1" x14ac:dyDescent="0.3">
      <c r="B619" s="56" t="s">
        <v>263</v>
      </c>
      <c r="C619" s="57" t="s">
        <v>883</v>
      </c>
      <c r="D619" s="57" t="s">
        <v>1339</v>
      </c>
      <c r="E619" s="57" t="s">
        <v>1417</v>
      </c>
      <c r="F619" s="57" t="s">
        <v>1043</v>
      </c>
      <c r="G619" t="s">
        <v>1043</v>
      </c>
      <c r="H619" t="s">
        <v>1043</v>
      </c>
      <c r="I619" s="57" t="s">
        <v>1420</v>
      </c>
      <c r="J619" s="57" t="s">
        <v>1421</v>
      </c>
      <c r="K619" s="57" t="s">
        <v>267</v>
      </c>
      <c r="L619" s="58" t="s">
        <v>311</v>
      </c>
      <c r="M619" s="59">
        <v>46510</v>
      </c>
      <c r="N619" s="60">
        <v>46538</v>
      </c>
    </row>
    <row r="620" spans="2:14" hidden="1" x14ac:dyDescent="0.3">
      <c r="B620" s="56" t="s">
        <v>263</v>
      </c>
      <c r="C620" s="57" t="s">
        <v>883</v>
      </c>
      <c r="D620" s="57" t="s">
        <v>1339</v>
      </c>
      <c r="E620" s="57" t="s">
        <v>1417</v>
      </c>
      <c r="F620" s="57" t="s">
        <v>888</v>
      </c>
      <c r="G620" t="s">
        <v>888</v>
      </c>
      <c r="H620" t="s">
        <v>888</v>
      </c>
      <c r="I620" s="57" t="s">
        <v>1422</v>
      </c>
      <c r="J620" s="57" t="s">
        <v>1423</v>
      </c>
      <c r="K620" s="57" t="s">
        <v>267</v>
      </c>
      <c r="L620" s="58" t="s">
        <v>311</v>
      </c>
      <c r="M620" s="59">
        <v>46510</v>
      </c>
      <c r="N620" s="60">
        <v>46538</v>
      </c>
    </row>
    <row r="621" spans="2:14" hidden="1" x14ac:dyDescent="0.3">
      <c r="B621" s="56" t="s">
        <v>263</v>
      </c>
      <c r="C621" s="57" t="s">
        <v>1424</v>
      </c>
      <c r="D621" s="57" t="s">
        <v>1425</v>
      </c>
      <c r="E621" s="57" t="s">
        <v>1425</v>
      </c>
      <c r="F621" s="57" t="s">
        <v>1425</v>
      </c>
      <c r="G621" t="s">
        <v>1425</v>
      </c>
      <c r="H621" t="s">
        <v>1426</v>
      </c>
      <c r="I621" s="57" t="s">
        <v>1427</v>
      </c>
      <c r="J621" s="57" t="s">
        <v>1428</v>
      </c>
      <c r="K621" s="57" t="s">
        <v>267</v>
      </c>
      <c r="L621" s="58" t="s">
        <v>307</v>
      </c>
      <c r="M621" s="59">
        <v>46006</v>
      </c>
      <c r="N621" s="60">
        <v>46037</v>
      </c>
    </row>
    <row r="622" spans="2:14" hidden="1" x14ac:dyDescent="0.3">
      <c r="B622" s="56" t="s">
        <v>263</v>
      </c>
      <c r="C622" s="57" t="s">
        <v>1424</v>
      </c>
      <c r="D622" s="57" t="s">
        <v>1425</v>
      </c>
      <c r="E622" s="57" t="s">
        <v>1425</v>
      </c>
      <c r="F622" s="57" t="s">
        <v>1425</v>
      </c>
      <c r="G622" t="s">
        <v>1425</v>
      </c>
      <c r="H622" t="s">
        <v>1429</v>
      </c>
      <c r="I622" s="57" t="s">
        <v>1427</v>
      </c>
      <c r="J622" s="57" t="s">
        <v>1430</v>
      </c>
      <c r="K622" s="57" t="s">
        <v>267</v>
      </c>
      <c r="L622" s="58" t="s">
        <v>307</v>
      </c>
      <c r="M622" s="59">
        <v>46039</v>
      </c>
      <c r="N622" s="60">
        <v>46070</v>
      </c>
    </row>
    <row r="623" spans="2:14" hidden="1" x14ac:dyDescent="0.3">
      <c r="B623" s="56" t="s">
        <v>263</v>
      </c>
      <c r="C623" s="57" t="s">
        <v>1424</v>
      </c>
      <c r="D623" s="57" t="s">
        <v>1425</v>
      </c>
      <c r="E623" s="57" t="s">
        <v>1425</v>
      </c>
      <c r="F623" s="57" t="s">
        <v>1425</v>
      </c>
      <c r="G623" t="s">
        <v>1425</v>
      </c>
      <c r="H623" t="s">
        <v>1431</v>
      </c>
      <c r="I623" s="57" t="s">
        <v>1427</v>
      </c>
      <c r="J623" s="57" t="s">
        <v>1432</v>
      </c>
      <c r="K623" s="57" t="s">
        <v>267</v>
      </c>
      <c r="L623" s="58" t="s">
        <v>307</v>
      </c>
      <c r="M623" s="59">
        <v>46071</v>
      </c>
      <c r="N623" s="60">
        <v>46106</v>
      </c>
    </row>
    <row r="624" spans="2:14" hidden="1" x14ac:dyDescent="0.3">
      <c r="B624" s="56" t="s">
        <v>263</v>
      </c>
      <c r="C624" s="57" t="s">
        <v>1424</v>
      </c>
      <c r="D624" s="57" t="s">
        <v>1425</v>
      </c>
      <c r="E624" s="57" t="s">
        <v>1425</v>
      </c>
      <c r="F624" s="57" t="s">
        <v>1425</v>
      </c>
      <c r="G624" t="s">
        <v>1425</v>
      </c>
      <c r="H624" t="s">
        <v>1433</v>
      </c>
      <c r="I624" s="57" t="s">
        <v>1427</v>
      </c>
      <c r="J624" s="57" t="s">
        <v>1434</v>
      </c>
      <c r="K624" s="57" t="s">
        <v>267</v>
      </c>
      <c r="L624" s="58" t="s">
        <v>307</v>
      </c>
      <c r="M624" s="59">
        <v>46107</v>
      </c>
      <c r="N624" s="60">
        <v>46139</v>
      </c>
    </row>
    <row r="625" spans="2:14" hidden="1" x14ac:dyDescent="0.3">
      <c r="B625" s="56" t="s">
        <v>263</v>
      </c>
      <c r="C625" s="57" t="s">
        <v>1424</v>
      </c>
      <c r="D625" s="57" t="s">
        <v>1435</v>
      </c>
      <c r="E625" s="57" t="s">
        <v>1435</v>
      </c>
      <c r="F625" s="57" t="s">
        <v>1435</v>
      </c>
      <c r="G625" t="s">
        <v>1435</v>
      </c>
      <c r="H625" t="s">
        <v>290</v>
      </c>
      <c r="I625" s="57" t="s">
        <v>1436</v>
      </c>
      <c r="J625" s="57" t="s">
        <v>1437</v>
      </c>
      <c r="K625" s="57" t="s">
        <v>267</v>
      </c>
      <c r="L625" s="58" t="s">
        <v>307</v>
      </c>
      <c r="M625" s="59">
        <v>45973</v>
      </c>
      <c r="N625" s="60">
        <v>46005</v>
      </c>
    </row>
    <row r="626" spans="2:14" hidden="1" x14ac:dyDescent="0.3">
      <c r="B626" s="56" t="s">
        <v>263</v>
      </c>
      <c r="C626" s="57" t="s">
        <v>1424</v>
      </c>
      <c r="D626" s="57" t="s">
        <v>1435</v>
      </c>
      <c r="E626" s="57" t="s">
        <v>1435</v>
      </c>
      <c r="F626" s="57" t="s">
        <v>1435</v>
      </c>
      <c r="G626" t="s">
        <v>1435</v>
      </c>
      <c r="H626" t="s">
        <v>1438</v>
      </c>
      <c r="I626" s="57" t="s">
        <v>1436</v>
      </c>
      <c r="J626" s="57" t="s">
        <v>1439</v>
      </c>
      <c r="K626" s="57" t="s">
        <v>267</v>
      </c>
      <c r="L626" s="58" t="s">
        <v>307</v>
      </c>
      <c r="M626" s="59">
        <v>46006</v>
      </c>
      <c r="N626" s="60">
        <v>46037</v>
      </c>
    </row>
    <row r="627" spans="2:14" hidden="1" x14ac:dyDescent="0.3">
      <c r="B627" s="56" t="s">
        <v>263</v>
      </c>
      <c r="C627" s="57" t="s">
        <v>1424</v>
      </c>
      <c r="D627" s="57" t="s">
        <v>1435</v>
      </c>
      <c r="E627" s="57" t="s">
        <v>1435</v>
      </c>
      <c r="F627" s="57" t="s">
        <v>1435</v>
      </c>
      <c r="G627" t="s">
        <v>1435</v>
      </c>
      <c r="H627" t="s">
        <v>1440</v>
      </c>
      <c r="I627" s="57" t="s">
        <v>1436</v>
      </c>
      <c r="J627" s="57" t="s">
        <v>1441</v>
      </c>
      <c r="K627" s="57" t="s">
        <v>267</v>
      </c>
      <c r="L627" s="58" t="s">
        <v>307</v>
      </c>
      <c r="M627" s="59">
        <v>46039</v>
      </c>
      <c r="N627" s="60">
        <v>46070</v>
      </c>
    </row>
    <row r="628" spans="2:14" hidden="1" x14ac:dyDescent="0.3">
      <c r="B628" s="56" t="s">
        <v>263</v>
      </c>
      <c r="C628" s="57" t="s">
        <v>1424</v>
      </c>
      <c r="D628" s="57" t="s">
        <v>1424</v>
      </c>
      <c r="E628" s="57" t="s">
        <v>1442</v>
      </c>
      <c r="F628" s="57" t="s">
        <v>1442</v>
      </c>
      <c r="G628" t="s">
        <v>1442</v>
      </c>
      <c r="H628" t="s">
        <v>290</v>
      </c>
      <c r="I628" s="57" t="s">
        <v>1443</v>
      </c>
      <c r="J628" s="57" t="s">
        <v>1444</v>
      </c>
      <c r="K628" s="57" t="s">
        <v>267</v>
      </c>
      <c r="L628" s="58" t="s">
        <v>311</v>
      </c>
      <c r="M628" s="59">
        <v>46085</v>
      </c>
      <c r="N628" s="60">
        <v>46111</v>
      </c>
    </row>
    <row r="629" spans="2:14" hidden="1" x14ac:dyDescent="0.3">
      <c r="B629" s="56" t="s">
        <v>263</v>
      </c>
      <c r="C629" s="57" t="s">
        <v>1424</v>
      </c>
      <c r="D629" s="57" t="s">
        <v>1424</v>
      </c>
      <c r="E629" s="57" t="s">
        <v>1442</v>
      </c>
      <c r="F629" s="57" t="s">
        <v>1442</v>
      </c>
      <c r="G629" t="s">
        <v>1442</v>
      </c>
      <c r="H629" t="s">
        <v>283</v>
      </c>
      <c r="I629" s="57" t="s">
        <v>1443</v>
      </c>
      <c r="J629" s="57" t="s">
        <v>1445</v>
      </c>
      <c r="K629" s="57" t="s">
        <v>267</v>
      </c>
      <c r="L629" s="58" t="s">
        <v>307</v>
      </c>
      <c r="M629" s="59">
        <v>46154</v>
      </c>
      <c r="N629" s="60">
        <v>46189</v>
      </c>
    </row>
    <row r="630" spans="2:14" hidden="1" x14ac:dyDescent="0.3">
      <c r="B630" s="56" t="s">
        <v>263</v>
      </c>
      <c r="C630" s="57" t="s">
        <v>1424</v>
      </c>
      <c r="D630" s="57" t="s">
        <v>1424</v>
      </c>
      <c r="E630" s="57" t="s">
        <v>290</v>
      </c>
      <c r="F630" s="57" t="s">
        <v>291</v>
      </c>
      <c r="G630" t="s">
        <v>291</v>
      </c>
      <c r="H630" t="s">
        <v>291</v>
      </c>
      <c r="I630" s="57" t="s">
        <v>1446</v>
      </c>
      <c r="J630" s="57" t="s">
        <v>1447</v>
      </c>
      <c r="K630" s="57" t="s">
        <v>267</v>
      </c>
      <c r="L630" s="58" t="s">
        <v>307</v>
      </c>
      <c r="M630" s="59">
        <v>46294</v>
      </c>
      <c r="N630" s="60">
        <v>46326</v>
      </c>
    </row>
    <row r="631" spans="2:14" hidden="1" x14ac:dyDescent="0.3">
      <c r="B631" s="56" t="s">
        <v>263</v>
      </c>
      <c r="C631" s="57" t="s">
        <v>1424</v>
      </c>
      <c r="D631" s="57" t="s">
        <v>1424</v>
      </c>
      <c r="E631" s="57" t="s">
        <v>290</v>
      </c>
      <c r="F631" s="57" t="s">
        <v>295</v>
      </c>
      <c r="G631" t="s">
        <v>295</v>
      </c>
      <c r="H631" t="s">
        <v>295</v>
      </c>
      <c r="I631" s="57" t="s">
        <v>1448</v>
      </c>
      <c r="J631" s="57" t="s">
        <v>1449</v>
      </c>
      <c r="K631" s="57" t="s">
        <v>267</v>
      </c>
      <c r="L631" s="58" t="s">
        <v>307</v>
      </c>
      <c r="M631" s="59">
        <v>46260</v>
      </c>
      <c r="N631" s="60">
        <v>46293</v>
      </c>
    </row>
    <row r="632" spans="2:14" hidden="1" x14ac:dyDescent="0.3">
      <c r="B632" s="56" t="s">
        <v>263</v>
      </c>
      <c r="C632" s="57" t="s">
        <v>1424</v>
      </c>
      <c r="D632" s="57" t="s">
        <v>1424</v>
      </c>
      <c r="E632" s="57" t="s">
        <v>290</v>
      </c>
      <c r="F632" s="57" t="s">
        <v>298</v>
      </c>
      <c r="G632" t="s">
        <v>298</v>
      </c>
      <c r="H632" t="s">
        <v>298</v>
      </c>
      <c r="I632" s="57" t="s">
        <v>1450</v>
      </c>
      <c r="J632" s="57" t="s">
        <v>1451</v>
      </c>
      <c r="K632" s="57" t="s">
        <v>267</v>
      </c>
      <c r="L632" s="58" t="s">
        <v>307</v>
      </c>
      <c r="M632" s="59">
        <v>46159</v>
      </c>
      <c r="N632" s="60">
        <v>46194</v>
      </c>
    </row>
    <row r="633" spans="2:14" hidden="1" x14ac:dyDescent="0.3">
      <c r="B633" s="56" t="s">
        <v>263</v>
      </c>
      <c r="C633" s="57" t="s">
        <v>1424</v>
      </c>
      <c r="D633" s="57" t="s">
        <v>1424</v>
      </c>
      <c r="E633" s="57" t="s">
        <v>290</v>
      </c>
      <c r="F633" s="57" t="s">
        <v>301</v>
      </c>
      <c r="G633" t="s">
        <v>301</v>
      </c>
      <c r="H633" t="s">
        <v>301</v>
      </c>
      <c r="I633" s="57" t="s">
        <v>1452</v>
      </c>
      <c r="J633" s="57" t="s">
        <v>1453</v>
      </c>
      <c r="K633" s="57" t="s">
        <v>267</v>
      </c>
      <c r="L633" s="58" t="s">
        <v>307</v>
      </c>
      <c r="M633" s="59">
        <v>46195</v>
      </c>
      <c r="N633" s="60">
        <v>46226</v>
      </c>
    </row>
    <row r="634" spans="2:14" hidden="1" x14ac:dyDescent="0.3">
      <c r="B634" s="56" t="s">
        <v>263</v>
      </c>
      <c r="C634" s="57" t="s">
        <v>1424</v>
      </c>
      <c r="D634" s="57" t="s">
        <v>1424</v>
      </c>
      <c r="E634" s="57" t="s">
        <v>290</v>
      </c>
      <c r="F634" s="57" t="s">
        <v>304</v>
      </c>
      <c r="G634" t="s">
        <v>304</v>
      </c>
      <c r="H634" t="s">
        <v>304</v>
      </c>
      <c r="I634" s="57" t="s">
        <v>1454</v>
      </c>
      <c r="J634" s="57" t="s">
        <v>1455</v>
      </c>
      <c r="K634" s="57" t="s">
        <v>267</v>
      </c>
      <c r="L634" s="58" t="s">
        <v>307</v>
      </c>
      <c r="M634" s="59">
        <v>46228</v>
      </c>
      <c r="N634" s="60">
        <v>46259</v>
      </c>
    </row>
    <row r="635" spans="2:14" hidden="1" x14ac:dyDescent="0.3">
      <c r="B635" s="56" t="s">
        <v>263</v>
      </c>
      <c r="C635" s="57" t="s">
        <v>1424</v>
      </c>
      <c r="D635" s="57" t="s">
        <v>1424</v>
      </c>
      <c r="E635" s="57" t="s">
        <v>793</v>
      </c>
      <c r="F635" s="57" t="s">
        <v>793</v>
      </c>
      <c r="G635" t="s">
        <v>793</v>
      </c>
      <c r="H635" t="s">
        <v>793</v>
      </c>
      <c r="I635" s="57" t="s">
        <v>1456</v>
      </c>
      <c r="J635" s="57" t="s">
        <v>1457</v>
      </c>
      <c r="K635" s="57" t="s">
        <v>267</v>
      </c>
      <c r="L635" s="58" t="s">
        <v>307</v>
      </c>
      <c r="M635" s="59">
        <v>46392</v>
      </c>
      <c r="N635" s="60">
        <v>46424</v>
      </c>
    </row>
    <row r="636" spans="2:14" hidden="1" x14ac:dyDescent="0.3">
      <c r="B636" s="56" t="s">
        <v>263</v>
      </c>
      <c r="C636" s="57" t="s">
        <v>1424</v>
      </c>
      <c r="D636" s="57" t="s">
        <v>1424</v>
      </c>
      <c r="E636" s="57" t="s">
        <v>1458</v>
      </c>
      <c r="F636" s="57" t="s">
        <v>1458</v>
      </c>
      <c r="G636" t="s">
        <v>1458</v>
      </c>
      <c r="H636" t="s">
        <v>1458</v>
      </c>
      <c r="I636" s="57" t="s">
        <v>1459</v>
      </c>
      <c r="J636" s="57" t="s">
        <v>1460</v>
      </c>
      <c r="K636" s="57" t="s">
        <v>267</v>
      </c>
      <c r="L636" s="58" t="s">
        <v>307</v>
      </c>
      <c r="M636" s="59">
        <v>46359</v>
      </c>
      <c r="N636" s="60">
        <v>46391</v>
      </c>
    </row>
    <row r="637" spans="2:14" hidden="1" x14ac:dyDescent="0.3">
      <c r="B637" s="56" t="s">
        <v>263</v>
      </c>
      <c r="C637" s="57" t="s">
        <v>1424</v>
      </c>
      <c r="D637" s="57" t="s">
        <v>1424</v>
      </c>
      <c r="E637" s="57" t="s">
        <v>1461</v>
      </c>
      <c r="F637" s="57" t="s">
        <v>1461</v>
      </c>
      <c r="G637" t="s">
        <v>1461</v>
      </c>
      <c r="H637" t="s">
        <v>1461</v>
      </c>
      <c r="I637" s="57" t="s">
        <v>1462</v>
      </c>
      <c r="J637" s="57" t="s">
        <v>1463</v>
      </c>
      <c r="K637" s="57" t="s">
        <v>267</v>
      </c>
      <c r="L637" s="58" t="s">
        <v>307</v>
      </c>
      <c r="M637" s="59">
        <v>46425</v>
      </c>
      <c r="N637" s="60">
        <v>46460</v>
      </c>
    </row>
    <row r="638" spans="2:14" hidden="1" x14ac:dyDescent="0.3">
      <c r="B638" s="56" t="s">
        <v>263</v>
      </c>
      <c r="C638" s="57" t="s">
        <v>1424</v>
      </c>
      <c r="D638" s="57" t="s">
        <v>1424</v>
      </c>
      <c r="E638" s="57" t="s">
        <v>1440</v>
      </c>
      <c r="F638" s="57" t="s">
        <v>1440</v>
      </c>
      <c r="G638" t="s">
        <v>1440</v>
      </c>
      <c r="H638" t="s">
        <v>1440</v>
      </c>
      <c r="I638" s="57" t="s">
        <v>1464</v>
      </c>
      <c r="J638" s="57" t="s">
        <v>1465</v>
      </c>
      <c r="K638" s="57" t="s">
        <v>267</v>
      </c>
      <c r="L638" s="58" t="s">
        <v>307</v>
      </c>
      <c r="M638" s="59">
        <v>46494</v>
      </c>
      <c r="N638" s="60">
        <v>46530</v>
      </c>
    </row>
    <row r="639" spans="2:14" hidden="1" x14ac:dyDescent="0.3">
      <c r="B639" s="56" t="s">
        <v>263</v>
      </c>
      <c r="C639" s="57" t="s">
        <v>1424</v>
      </c>
      <c r="D639" s="57" t="s">
        <v>1424</v>
      </c>
      <c r="E639" s="57" t="s">
        <v>1339</v>
      </c>
      <c r="F639" s="57" t="s">
        <v>1339</v>
      </c>
      <c r="G639" t="s">
        <v>1339</v>
      </c>
      <c r="H639" t="s">
        <v>1339</v>
      </c>
      <c r="I639" s="57" t="s">
        <v>1466</v>
      </c>
      <c r="J639" s="57" t="s">
        <v>1467</v>
      </c>
      <c r="K639" s="57" t="s">
        <v>267</v>
      </c>
      <c r="L639" s="58" t="s">
        <v>307</v>
      </c>
      <c r="M639" s="59">
        <v>46425</v>
      </c>
      <c r="N639" s="60">
        <v>46460</v>
      </c>
    </row>
    <row r="640" spans="2:14" hidden="1" x14ac:dyDescent="0.3">
      <c r="B640" s="56" t="s">
        <v>263</v>
      </c>
      <c r="C640" s="57" t="s">
        <v>1424</v>
      </c>
      <c r="D640" s="57" t="s">
        <v>1424</v>
      </c>
      <c r="E640" s="57" t="s">
        <v>1468</v>
      </c>
      <c r="F640" s="57" t="s">
        <v>1468</v>
      </c>
      <c r="G640" t="s">
        <v>1468</v>
      </c>
      <c r="H640" t="s">
        <v>1468</v>
      </c>
      <c r="I640" s="57" t="s">
        <v>1469</v>
      </c>
      <c r="J640" s="57" t="s">
        <v>1470</v>
      </c>
      <c r="K640" s="57" t="s">
        <v>267</v>
      </c>
      <c r="L640" s="58" t="s">
        <v>307</v>
      </c>
      <c r="M640" s="59">
        <v>46359</v>
      </c>
      <c r="N640" s="60">
        <v>46391</v>
      </c>
    </row>
    <row r="641" spans="2:14" hidden="1" x14ac:dyDescent="0.3">
      <c r="B641" s="56" t="s">
        <v>263</v>
      </c>
      <c r="C641" s="57" t="s">
        <v>1424</v>
      </c>
      <c r="D641" s="57" t="s">
        <v>1424</v>
      </c>
      <c r="E641" s="57" t="s">
        <v>1471</v>
      </c>
      <c r="F641" s="57" t="s">
        <v>1471</v>
      </c>
      <c r="G641" t="s">
        <v>1471</v>
      </c>
      <c r="H641" t="s">
        <v>1471</v>
      </c>
      <c r="I641" s="57" t="s">
        <v>1472</v>
      </c>
      <c r="J641" s="57" t="s">
        <v>1473</v>
      </c>
      <c r="K641" s="57" t="s">
        <v>267</v>
      </c>
      <c r="L641" s="58" t="s">
        <v>307</v>
      </c>
      <c r="M641" s="59">
        <v>46392</v>
      </c>
      <c r="N641" s="60">
        <v>46424</v>
      </c>
    </row>
    <row r="642" spans="2:14" x14ac:dyDescent="0.3">
      <c r="B642" s="56" t="s">
        <v>263</v>
      </c>
      <c r="C642" s="57" t="s">
        <v>1474</v>
      </c>
      <c r="D642" s="57" t="s">
        <v>1475</v>
      </c>
      <c r="E642" s="57" t="s">
        <v>1475</v>
      </c>
      <c r="F642" s="57" t="s">
        <v>1475</v>
      </c>
      <c r="G642" t="s">
        <v>1475</v>
      </c>
      <c r="H642" t="s">
        <v>1476</v>
      </c>
      <c r="I642" s="57" t="s">
        <v>1477</v>
      </c>
      <c r="J642" s="57" t="s">
        <v>72</v>
      </c>
      <c r="K642" s="57" t="s">
        <v>267</v>
      </c>
      <c r="L642" s="58" t="s">
        <v>307</v>
      </c>
      <c r="M642" s="59">
        <v>46189</v>
      </c>
      <c r="N642" s="60">
        <v>46221</v>
      </c>
    </row>
    <row r="643" spans="2:14" hidden="1" x14ac:dyDescent="0.3">
      <c r="B643" s="56" t="s">
        <v>263</v>
      </c>
      <c r="C643" s="57" t="s">
        <v>1474</v>
      </c>
      <c r="D643" s="57" t="s">
        <v>1475</v>
      </c>
      <c r="E643" s="57" t="s">
        <v>1475</v>
      </c>
      <c r="F643" s="57" t="s">
        <v>1475</v>
      </c>
      <c r="G643" t="s">
        <v>1475</v>
      </c>
      <c r="H643" t="s">
        <v>1478</v>
      </c>
      <c r="I643" s="57" t="s">
        <v>1477</v>
      </c>
      <c r="J643" s="57" t="s">
        <v>1479</v>
      </c>
      <c r="K643" s="57" t="s">
        <v>267</v>
      </c>
      <c r="L643" s="58" t="s">
        <v>307</v>
      </c>
      <c r="M643" s="59">
        <v>46253</v>
      </c>
      <c r="N643" s="60">
        <v>46285</v>
      </c>
    </row>
    <row r="644" spans="2:14" hidden="1" x14ac:dyDescent="0.3">
      <c r="B644" s="56" t="s">
        <v>263</v>
      </c>
      <c r="C644" s="57" t="s">
        <v>1474</v>
      </c>
      <c r="D644" s="57" t="s">
        <v>1475</v>
      </c>
      <c r="E644" s="57" t="s">
        <v>1475</v>
      </c>
      <c r="F644" s="57" t="s">
        <v>1475</v>
      </c>
      <c r="G644" t="s">
        <v>1475</v>
      </c>
      <c r="H644" t="s">
        <v>1480</v>
      </c>
      <c r="I644" s="57" t="s">
        <v>1477</v>
      </c>
      <c r="J644" s="57" t="s">
        <v>1481</v>
      </c>
      <c r="K644" s="57" t="s">
        <v>267</v>
      </c>
      <c r="L644" s="58" t="s">
        <v>307</v>
      </c>
      <c r="M644" s="59">
        <v>46286</v>
      </c>
      <c r="N644" s="60">
        <v>46319</v>
      </c>
    </row>
    <row r="645" spans="2:14" hidden="1" x14ac:dyDescent="0.3">
      <c r="B645" s="56" t="s">
        <v>263</v>
      </c>
      <c r="C645" s="57" t="s">
        <v>1474</v>
      </c>
      <c r="D645" s="57" t="s">
        <v>1475</v>
      </c>
      <c r="E645" s="57" t="s">
        <v>1475</v>
      </c>
      <c r="F645" s="57" t="s">
        <v>1475</v>
      </c>
      <c r="G645" t="s">
        <v>1475</v>
      </c>
      <c r="H645" t="s">
        <v>1482</v>
      </c>
      <c r="I645" s="57" t="s">
        <v>1477</v>
      </c>
      <c r="J645" s="57" t="s">
        <v>1483</v>
      </c>
      <c r="K645" s="57" t="s">
        <v>267</v>
      </c>
      <c r="L645" s="58" t="s">
        <v>307</v>
      </c>
      <c r="M645" s="59">
        <v>46320</v>
      </c>
      <c r="N645" s="60">
        <v>46351</v>
      </c>
    </row>
    <row r="646" spans="2:14" hidden="1" x14ac:dyDescent="0.3">
      <c r="B646" s="56" t="s">
        <v>263</v>
      </c>
      <c r="C646" s="57" t="s">
        <v>1474</v>
      </c>
      <c r="D646" s="57" t="s">
        <v>1484</v>
      </c>
      <c r="E646" s="57" t="s">
        <v>1484</v>
      </c>
      <c r="F646" s="57" t="s">
        <v>1484</v>
      </c>
      <c r="G646" t="s">
        <v>1484</v>
      </c>
      <c r="H646" t="s">
        <v>1484</v>
      </c>
      <c r="I646" s="57" t="s">
        <v>1485</v>
      </c>
      <c r="J646" s="57" t="s">
        <v>1486</v>
      </c>
      <c r="K646" s="57" t="s">
        <v>267</v>
      </c>
      <c r="L646" s="58" t="s">
        <v>307</v>
      </c>
      <c r="M646" s="59">
        <v>46198</v>
      </c>
      <c r="N646" s="60">
        <v>46230</v>
      </c>
    </row>
    <row r="647" spans="2:14" hidden="1" x14ac:dyDescent="0.3">
      <c r="B647" s="56" t="s">
        <v>263</v>
      </c>
      <c r="C647" s="57" t="s">
        <v>1474</v>
      </c>
      <c r="D647" s="57" t="s">
        <v>1487</v>
      </c>
      <c r="E647" s="57" t="s">
        <v>312</v>
      </c>
      <c r="F647" s="57" t="s">
        <v>312</v>
      </c>
      <c r="G647" t="s">
        <v>312</v>
      </c>
      <c r="H647" t="s">
        <v>1488</v>
      </c>
      <c r="I647" s="57" t="s">
        <v>1489</v>
      </c>
      <c r="J647" s="57" t="s">
        <v>1490</v>
      </c>
      <c r="K647" s="57" t="s">
        <v>267</v>
      </c>
      <c r="L647" s="58" t="s">
        <v>338</v>
      </c>
      <c r="M647" s="59">
        <v>46477</v>
      </c>
      <c r="N647" s="60">
        <v>46494</v>
      </c>
    </row>
    <row r="648" spans="2:14" hidden="1" x14ac:dyDescent="0.3">
      <c r="B648" s="56" t="s">
        <v>263</v>
      </c>
      <c r="C648" s="57" t="s">
        <v>1474</v>
      </c>
      <c r="D648" s="57" t="s">
        <v>1487</v>
      </c>
      <c r="E648" s="57" t="s">
        <v>312</v>
      </c>
      <c r="F648" s="57" t="s">
        <v>312</v>
      </c>
      <c r="G648" t="s">
        <v>312</v>
      </c>
      <c r="H648" t="s">
        <v>1491</v>
      </c>
      <c r="I648" s="57" t="s">
        <v>1489</v>
      </c>
      <c r="J648" s="57" t="s">
        <v>1492</v>
      </c>
      <c r="K648" s="57" t="s">
        <v>267</v>
      </c>
      <c r="L648" s="58" t="s">
        <v>338</v>
      </c>
      <c r="M648" s="59">
        <v>46495</v>
      </c>
      <c r="N648" s="60">
        <v>46511</v>
      </c>
    </row>
    <row r="649" spans="2:14" hidden="1" x14ac:dyDescent="0.3">
      <c r="B649" s="56" t="s">
        <v>263</v>
      </c>
      <c r="C649" s="57" t="s">
        <v>1474</v>
      </c>
      <c r="D649" s="57" t="s">
        <v>1487</v>
      </c>
      <c r="E649" s="57" t="s">
        <v>312</v>
      </c>
      <c r="F649" s="57" t="s">
        <v>312</v>
      </c>
      <c r="G649" t="s">
        <v>312</v>
      </c>
      <c r="H649" t="s">
        <v>1493</v>
      </c>
      <c r="I649" s="57" t="s">
        <v>1489</v>
      </c>
      <c r="J649" s="57" t="s">
        <v>1494</v>
      </c>
      <c r="K649" s="57" t="s">
        <v>267</v>
      </c>
      <c r="L649" s="58" t="s">
        <v>307</v>
      </c>
      <c r="M649" s="59">
        <v>46512</v>
      </c>
      <c r="N649" s="60">
        <v>46548</v>
      </c>
    </row>
    <row r="650" spans="2:14" hidden="1" x14ac:dyDescent="0.3">
      <c r="B650" s="56" t="s">
        <v>263</v>
      </c>
      <c r="C650" s="57" t="s">
        <v>1474</v>
      </c>
      <c r="D650" s="57" t="s">
        <v>1487</v>
      </c>
      <c r="E650" s="57" t="s">
        <v>312</v>
      </c>
      <c r="F650" s="57" t="s">
        <v>312</v>
      </c>
      <c r="G650" t="s">
        <v>312</v>
      </c>
      <c r="H650" t="s">
        <v>1495</v>
      </c>
      <c r="I650" s="57" t="s">
        <v>1489</v>
      </c>
      <c r="J650" s="57" t="s">
        <v>1496</v>
      </c>
      <c r="K650" s="57" t="s">
        <v>267</v>
      </c>
      <c r="L650" s="58" t="s">
        <v>307</v>
      </c>
      <c r="M650" s="59">
        <v>46550</v>
      </c>
      <c r="N650" s="60">
        <v>46581</v>
      </c>
    </row>
    <row r="651" spans="2:14" hidden="1" x14ac:dyDescent="0.3">
      <c r="B651" s="56" t="s">
        <v>263</v>
      </c>
      <c r="C651" s="57" t="s">
        <v>1474</v>
      </c>
      <c r="D651" s="57" t="s">
        <v>1487</v>
      </c>
      <c r="E651" s="57" t="s">
        <v>555</v>
      </c>
      <c r="F651" s="57" t="s">
        <v>557</v>
      </c>
      <c r="G651" t="s">
        <v>557</v>
      </c>
      <c r="H651" t="s">
        <v>557</v>
      </c>
      <c r="I651" s="57" t="s">
        <v>1497</v>
      </c>
      <c r="J651" s="57" t="s">
        <v>1498</v>
      </c>
      <c r="K651" s="57" t="s">
        <v>267</v>
      </c>
      <c r="L651" s="58" t="s">
        <v>307</v>
      </c>
      <c r="M651" s="59">
        <v>46582</v>
      </c>
      <c r="N651" s="60">
        <v>46614</v>
      </c>
    </row>
    <row r="652" spans="2:14" hidden="1" x14ac:dyDescent="0.3">
      <c r="B652" s="56" t="s">
        <v>263</v>
      </c>
      <c r="C652" s="57" t="s">
        <v>1474</v>
      </c>
      <c r="D652" s="57" t="s">
        <v>1487</v>
      </c>
      <c r="E652" s="57" t="s">
        <v>555</v>
      </c>
      <c r="F652" s="57" t="s">
        <v>1499</v>
      </c>
      <c r="G652" t="s">
        <v>1499</v>
      </c>
      <c r="H652" t="s">
        <v>1499</v>
      </c>
      <c r="I652" s="57" t="s">
        <v>1500</v>
      </c>
      <c r="J652" s="57" t="s">
        <v>1501</v>
      </c>
      <c r="K652" s="57" t="s">
        <v>267</v>
      </c>
      <c r="L652" s="58" t="s">
        <v>311</v>
      </c>
      <c r="M652" s="59">
        <v>46428</v>
      </c>
      <c r="N652" s="60">
        <v>46453</v>
      </c>
    </row>
    <row r="653" spans="2:14" hidden="1" x14ac:dyDescent="0.3">
      <c r="B653" s="56" t="s">
        <v>263</v>
      </c>
      <c r="C653" s="57" t="s">
        <v>1474</v>
      </c>
      <c r="D653" s="57" t="s">
        <v>1487</v>
      </c>
      <c r="E653" s="57" t="s">
        <v>555</v>
      </c>
      <c r="F653" s="57" t="s">
        <v>566</v>
      </c>
      <c r="G653" t="s">
        <v>566</v>
      </c>
      <c r="H653" t="s">
        <v>566</v>
      </c>
      <c r="I653" s="57" t="s">
        <v>1502</v>
      </c>
      <c r="J653" s="57" t="s">
        <v>1503</v>
      </c>
      <c r="K653" s="57" t="s">
        <v>267</v>
      </c>
      <c r="L653" s="58" t="s">
        <v>311</v>
      </c>
      <c r="M653" s="59">
        <v>46404</v>
      </c>
      <c r="N653" s="60">
        <v>46427</v>
      </c>
    </row>
    <row r="654" spans="2:14" hidden="1" x14ac:dyDescent="0.3">
      <c r="B654" s="56" t="s">
        <v>263</v>
      </c>
      <c r="C654" s="57" t="s">
        <v>1474</v>
      </c>
      <c r="D654" s="57" t="s">
        <v>1487</v>
      </c>
      <c r="E654" s="57" t="s">
        <v>555</v>
      </c>
      <c r="F654" s="57" t="s">
        <v>778</v>
      </c>
      <c r="G654" t="s">
        <v>778</v>
      </c>
      <c r="H654" t="s">
        <v>778</v>
      </c>
      <c r="I654" s="57" t="s">
        <v>1504</v>
      </c>
      <c r="J654" s="57" t="s">
        <v>1505</v>
      </c>
      <c r="K654" s="57" t="s">
        <v>267</v>
      </c>
      <c r="L654" s="58" t="s">
        <v>311</v>
      </c>
      <c r="M654" s="59">
        <v>46684</v>
      </c>
      <c r="N654" s="60">
        <v>46707</v>
      </c>
    </row>
    <row r="655" spans="2:14" hidden="1" x14ac:dyDescent="0.3">
      <c r="B655" s="56" t="s">
        <v>263</v>
      </c>
      <c r="C655" s="57" t="s">
        <v>1474</v>
      </c>
      <c r="D655" s="57" t="s">
        <v>1487</v>
      </c>
      <c r="E655" s="57" t="s">
        <v>1506</v>
      </c>
      <c r="F655" s="57" t="s">
        <v>923</v>
      </c>
      <c r="G655" t="s">
        <v>924</v>
      </c>
      <c r="H655" t="s">
        <v>924</v>
      </c>
      <c r="I655" s="57" t="s">
        <v>1507</v>
      </c>
      <c r="J655" s="57" t="s">
        <v>1508</v>
      </c>
      <c r="K655" s="57" t="s">
        <v>267</v>
      </c>
      <c r="L655" s="58" t="s">
        <v>311</v>
      </c>
      <c r="M655" s="59">
        <v>46582</v>
      </c>
      <c r="N655" s="60">
        <v>46606</v>
      </c>
    </row>
    <row r="656" spans="2:14" hidden="1" x14ac:dyDescent="0.3">
      <c r="B656" s="56" t="s">
        <v>263</v>
      </c>
      <c r="C656" s="57" t="s">
        <v>1474</v>
      </c>
      <c r="D656" s="57" t="s">
        <v>1487</v>
      </c>
      <c r="E656" s="57" t="s">
        <v>1506</v>
      </c>
      <c r="F656" s="57" t="s">
        <v>923</v>
      </c>
      <c r="G656" t="s">
        <v>1040</v>
      </c>
      <c r="H656" t="s">
        <v>1040</v>
      </c>
      <c r="I656" s="57" t="s">
        <v>1507</v>
      </c>
      <c r="J656" s="57" t="s">
        <v>1509</v>
      </c>
      <c r="K656" s="57" t="s">
        <v>267</v>
      </c>
      <c r="L656" s="58" t="s">
        <v>311</v>
      </c>
      <c r="M656" s="59">
        <v>46582</v>
      </c>
      <c r="N656" s="60">
        <v>46606</v>
      </c>
    </row>
    <row r="657" spans="2:14" hidden="1" x14ac:dyDescent="0.3">
      <c r="B657" s="56" t="s">
        <v>263</v>
      </c>
      <c r="C657" s="57" t="s">
        <v>1474</v>
      </c>
      <c r="D657" s="57" t="s">
        <v>1487</v>
      </c>
      <c r="E657" s="57" t="s">
        <v>1506</v>
      </c>
      <c r="F657" s="57" t="s">
        <v>923</v>
      </c>
      <c r="G657" t="s">
        <v>1043</v>
      </c>
      <c r="H657" t="s">
        <v>1043</v>
      </c>
      <c r="I657" s="57" t="s">
        <v>1507</v>
      </c>
      <c r="J657" s="57" t="s">
        <v>1510</v>
      </c>
      <c r="K657" s="57" t="s">
        <v>267</v>
      </c>
      <c r="L657" s="58" t="s">
        <v>311</v>
      </c>
      <c r="M657" s="59">
        <v>46582</v>
      </c>
      <c r="N657" s="60">
        <v>46606</v>
      </c>
    </row>
    <row r="658" spans="2:14" hidden="1" x14ac:dyDescent="0.3">
      <c r="B658" s="56" t="s">
        <v>263</v>
      </c>
      <c r="C658" s="57" t="s">
        <v>1474</v>
      </c>
      <c r="D658" s="57" t="s">
        <v>1487</v>
      </c>
      <c r="E658" s="57" t="s">
        <v>1506</v>
      </c>
      <c r="F658" s="57" t="s">
        <v>923</v>
      </c>
      <c r="G658" t="s">
        <v>888</v>
      </c>
      <c r="H658" t="s">
        <v>888</v>
      </c>
      <c r="I658" s="57" t="s">
        <v>1507</v>
      </c>
      <c r="J658" s="57" t="s">
        <v>1511</v>
      </c>
      <c r="K658" s="57" t="s">
        <v>267</v>
      </c>
      <c r="L658" s="58" t="s">
        <v>311</v>
      </c>
      <c r="M658" s="59">
        <v>46582</v>
      </c>
      <c r="N658" s="60">
        <v>46606</v>
      </c>
    </row>
    <row r="659" spans="2:14" hidden="1" x14ac:dyDescent="0.3">
      <c r="B659" s="56" t="s">
        <v>263</v>
      </c>
      <c r="C659" s="57" t="s">
        <v>1474</v>
      </c>
      <c r="D659" s="57" t="s">
        <v>1487</v>
      </c>
      <c r="E659" s="57" t="s">
        <v>1506</v>
      </c>
      <c r="F659" s="57" t="s">
        <v>923</v>
      </c>
      <c r="G659" t="s">
        <v>1046</v>
      </c>
      <c r="H659" t="s">
        <v>1046</v>
      </c>
      <c r="I659" s="57" t="s">
        <v>1507</v>
      </c>
      <c r="J659" s="57" t="s">
        <v>1512</v>
      </c>
      <c r="K659" s="57" t="s">
        <v>267</v>
      </c>
      <c r="L659" s="58" t="s">
        <v>311</v>
      </c>
      <c r="M659" s="59">
        <v>46582</v>
      </c>
      <c r="N659" s="60">
        <v>46606</v>
      </c>
    </row>
    <row r="660" spans="2:14" hidden="1" x14ac:dyDescent="0.3">
      <c r="B660" s="56" t="s">
        <v>263</v>
      </c>
      <c r="C660" s="57" t="s">
        <v>1474</v>
      </c>
      <c r="D660" s="57" t="s">
        <v>1513</v>
      </c>
      <c r="E660" s="57" t="s">
        <v>1514</v>
      </c>
      <c r="F660" s="57" t="s">
        <v>1514</v>
      </c>
      <c r="G660" t="s">
        <v>1514</v>
      </c>
      <c r="H660" t="s">
        <v>1514</v>
      </c>
      <c r="I660" s="57" t="s">
        <v>1515</v>
      </c>
      <c r="J660" s="57" t="s">
        <v>1516</v>
      </c>
      <c r="K660" s="57" t="s">
        <v>267</v>
      </c>
      <c r="L660" s="58" t="s">
        <v>307</v>
      </c>
      <c r="M660" s="59">
        <v>46376</v>
      </c>
      <c r="N660" s="60">
        <v>46407</v>
      </c>
    </row>
    <row r="661" spans="2:14" hidden="1" x14ac:dyDescent="0.3">
      <c r="B661" s="56" t="s">
        <v>263</v>
      </c>
      <c r="C661" s="57" t="s">
        <v>1474</v>
      </c>
      <c r="D661" s="57" t="s">
        <v>1513</v>
      </c>
      <c r="E661" s="57" t="s">
        <v>1517</v>
      </c>
      <c r="F661" s="57" t="s">
        <v>1517</v>
      </c>
      <c r="G661" t="s">
        <v>1517</v>
      </c>
      <c r="H661" t="s">
        <v>1517</v>
      </c>
      <c r="I661" s="57" t="s">
        <v>1518</v>
      </c>
      <c r="J661" s="57" t="s">
        <v>1519</v>
      </c>
      <c r="K661" s="57" t="s">
        <v>267</v>
      </c>
      <c r="L661" s="58" t="s">
        <v>307</v>
      </c>
      <c r="M661" s="59">
        <v>46376</v>
      </c>
      <c r="N661" s="60">
        <v>46407</v>
      </c>
    </row>
    <row r="662" spans="2:14" hidden="1" x14ac:dyDescent="0.3">
      <c r="B662" s="56" t="s">
        <v>263</v>
      </c>
      <c r="C662" s="57" t="s">
        <v>1474</v>
      </c>
      <c r="D662" s="57" t="s">
        <v>1513</v>
      </c>
      <c r="E662" s="57" t="s">
        <v>1520</v>
      </c>
      <c r="F662" s="57" t="s">
        <v>1520</v>
      </c>
      <c r="G662" t="s">
        <v>1520</v>
      </c>
      <c r="H662" t="s">
        <v>1520</v>
      </c>
      <c r="I662" s="57" t="s">
        <v>1521</v>
      </c>
      <c r="J662" s="57" t="s">
        <v>1522</v>
      </c>
      <c r="K662" s="57" t="s">
        <v>267</v>
      </c>
      <c r="L662" s="58" t="s">
        <v>307</v>
      </c>
      <c r="M662" s="59">
        <v>46408</v>
      </c>
      <c r="N662" s="60">
        <v>46441</v>
      </c>
    </row>
    <row r="663" spans="2:14" hidden="1" x14ac:dyDescent="0.3">
      <c r="B663" s="56" t="s">
        <v>263</v>
      </c>
      <c r="C663" s="57" t="s">
        <v>1474</v>
      </c>
      <c r="D663" s="57" t="s">
        <v>1513</v>
      </c>
      <c r="E663" s="57" t="s">
        <v>1523</v>
      </c>
      <c r="F663" s="57" t="s">
        <v>1523</v>
      </c>
      <c r="G663" t="s">
        <v>1523</v>
      </c>
      <c r="H663" t="s">
        <v>1523</v>
      </c>
      <c r="I663" s="57" t="s">
        <v>1524</v>
      </c>
      <c r="J663" s="57" t="s">
        <v>1525</v>
      </c>
      <c r="K663" s="57" t="s">
        <v>267</v>
      </c>
      <c r="L663" s="58" t="s">
        <v>307</v>
      </c>
      <c r="M663" s="59">
        <v>46442</v>
      </c>
      <c r="N663" s="60">
        <v>46476</v>
      </c>
    </row>
    <row r="664" spans="2:14" hidden="1" x14ac:dyDescent="0.3">
      <c r="B664" s="56" t="s">
        <v>263</v>
      </c>
      <c r="C664" s="57" t="s">
        <v>1474</v>
      </c>
      <c r="D664" s="57" t="s">
        <v>1526</v>
      </c>
      <c r="E664" s="57" t="s">
        <v>1526</v>
      </c>
      <c r="F664" s="57" t="s">
        <v>1526</v>
      </c>
      <c r="G664" t="s">
        <v>1526</v>
      </c>
      <c r="H664" t="s">
        <v>1526</v>
      </c>
      <c r="I664" s="57" t="s">
        <v>1527</v>
      </c>
      <c r="J664" s="57" t="s">
        <v>1528</v>
      </c>
      <c r="K664" s="57" t="s">
        <v>267</v>
      </c>
      <c r="L664" s="58" t="s">
        <v>307</v>
      </c>
      <c r="M664" s="59">
        <v>46245</v>
      </c>
      <c r="N664" s="60">
        <v>46277</v>
      </c>
    </row>
    <row r="665" spans="2:14" hidden="1" x14ac:dyDescent="0.3">
      <c r="B665" s="56" t="s">
        <v>263</v>
      </c>
      <c r="C665" s="57" t="s">
        <v>1474</v>
      </c>
      <c r="D665" s="57" t="s">
        <v>1529</v>
      </c>
      <c r="E665" s="57" t="s">
        <v>1529</v>
      </c>
      <c r="F665" s="57" t="s">
        <v>1529</v>
      </c>
      <c r="G665" t="s">
        <v>1529</v>
      </c>
      <c r="H665" t="s">
        <v>1529</v>
      </c>
      <c r="I665" s="57" t="s">
        <v>1530</v>
      </c>
      <c r="J665" s="57" t="s">
        <v>1531</v>
      </c>
      <c r="K665" s="57" t="s">
        <v>267</v>
      </c>
      <c r="L665" s="58" t="s">
        <v>311</v>
      </c>
      <c r="M665" s="59">
        <v>46278</v>
      </c>
      <c r="N665" s="60">
        <v>46302</v>
      </c>
    </row>
    <row r="666" spans="2:14" hidden="1" x14ac:dyDescent="0.3">
      <c r="B666" s="56" t="s">
        <v>263</v>
      </c>
      <c r="C666" s="57" t="s">
        <v>1474</v>
      </c>
      <c r="D666" s="57" t="s">
        <v>1532</v>
      </c>
      <c r="E666" s="57" t="s">
        <v>1532</v>
      </c>
      <c r="F666" s="57" t="s">
        <v>1532</v>
      </c>
      <c r="G666" t="s">
        <v>1532</v>
      </c>
      <c r="H666" t="s">
        <v>1532</v>
      </c>
      <c r="I666" s="57" t="s">
        <v>1533</v>
      </c>
      <c r="J666" s="57" t="s">
        <v>1534</v>
      </c>
      <c r="K666" s="57" t="s">
        <v>267</v>
      </c>
      <c r="L666" s="58" t="s">
        <v>307</v>
      </c>
      <c r="M666" s="59">
        <v>46397</v>
      </c>
      <c r="N666" s="60">
        <v>46428</v>
      </c>
    </row>
    <row r="667" spans="2:14" hidden="1" x14ac:dyDescent="0.3">
      <c r="B667" s="56" t="s">
        <v>263</v>
      </c>
      <c r="C667" s="57" t="s">
        <v>1474</v>
      </c>
      <c r="D667" s="57" t="s">
        <v>1030</v>
      </c>
      <c r="E667" s="57" t="s">
        <v>1030</v>
      </c>
      <c r="F667" s="57" t="s">
        <v>1030</v>
      </c>
      <c r="G667" t="s">
        <v>1030</v>
      </c>
      <c r="H667" t="s">
        <v>1030</v>
      </c>
      <c r="I667" s="57" t="s">
        <v>1535</v>
      </c>
      <c r="J667" s="57" t="s">
        <v>1536</v>
      </c>
      <c r="K667" s="57" t="s">
        <v>267</v>
      </c>
      <c r="L667" s="58" t="s">
        <v>307</v>
      </c>
      <c r="M667" s="59">
        <v>46408</v>
      </c>
      <c r="N667" s="60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V1" zoomScale="85" zoomScaleNormal="85" workbookViewId="0">
      <selection activeCell="AC14" sqref="AC14"/>
    </sheetView>
  </sheetViews>
  <sheetFormatPr defaultRowHeight="14.4" x14ac:dyDescent="0.3"/>
  <cols>
    <col min="1" max="1" width="8.44140625" style="12" bestFit="1" customWidth="1"/>
    <col min="2" max="2" width="26.5546875" style="13" bestFit="1" customWidth="1"/>
    <col min="3" max="3" width="6" style="12" bestFit="1" customWidth="1"/>
    <col min="4" max="4" width="21.6640625" style="13" bestFit="1" customWidth="1"/>
    <col min="5" max="5" width="7.44140625" style="12" bestFit="1" customWidth="1"/>
    <col min="6" max="6" width="24.5546875" style="13" bestFit="1" customWidth="1"/>
    <col min="7" max="7" width="6" style="12" bestFit="1" customWidth="1"/>
    <col min="8" max="8" width="28.3320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6640625" style="12" bestFit="1" customWidth="1"/>
    <col min="13" max="13" width="8.44140625" style="12" bestFit="1" customWidth="1"/>
    <col min="14" max="14" width="20.5546875" style="12" bestFit="1" customWidth="1"/>
    <col min="15" max="15" width="7.33203125" style="12" bestFit="1" customWidth="1"/>
    <col min="16" max="16" width="71.33203125" style="12" bestFit="1" customWidth="1"/>
    <col min="17" max="17" width="7.33203125" style="12" bestFit="1" customWidth="1"/>
    <col min="18" max="18" width="29.5546875" style="12" bestFit="1" customWidth="1"/>
    <col min="19" max="19" width="43" style="12" customWidth="1"/>
    <col min="20" max="20" width="21.44140625" style="12" bestFit="1" customWidth="1"/>
    <col min="21" max="21" width="23.6640625" style="12" bestFit="1" customWidth="1"/>
    <col min="22" max="22" width="34.5546875" style="12" bestFit="1" customWidth="1"/>
    <col min="23" max="23" width="12.44140625" style="12" bestFit="1" customWidth="1"/>
    <col min="24" max="24" width="45.5546875" style="12" bestFit="1" customWidth="1"/>
    <col min="25" max="25" width="12.44140625" style="12" bestFit="1" customWidth="1"/>
    <col min="26" max="26" width="19.5546875" style="12" bestFit="1" customWidth="1"/>
    <col min="27" max="27" width="15.6640625" style="12" bestFit="1" customWidth="1"/>
    <col min="28" max="28" width="23.33203125" style="12" bestFit="1" customWidth="1"/>
    <col min="29" max="29" width="36.44140625" style="12" bestFit="1" customWidth="1"/>
    <col min="30" max="30" width="38.6640625" style="13" customWidth="1"/>
    <col min="31" max="31" width="6.6640625" style="12" customWidth="1"/>
    <col min="32" max="32" width="41.44140625" style="13" bestFit="1" customWidth="1"/>
    <col min="33" max="33" width="6.6640625" style="13" customWidth="1"/>
    <col min="34" max="34" width="23.44140625" style="13" bestFit="1" customWidth="1"/>
    <col min="35" max="35" width="6.6640625" style="13" customWidth="1"/>
    <col min="36" max="36" width="23.44140625" style="13" customWidth="1"/>
    <col min="37" max="37" width="17.44140625" style="14" bestFit="1" customWidth="1"/>
    <col min="38" max="38" width="35.554687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33203125" style="13" customWidth="1"/>
  </cols>
  <sheetData>
    <row r="1" spans="1:44" ht="60.75" customHeight="1" x14ac:dyDescent="0.4">
      <c r="B1" s="26" t="e" vm="1">
        <v>#VALUE!</v>
      </c>
      <c r="D1" s="80" t="s">
        <v>1537</v>
      </c>
      <c r="E1" s="80"/>
      <c r="F1" s="80"/>
    </row>
    <row r="3" spans="1:44" x14ac:dyDescent="0.3">
      <c r="A3" s="78" t="s">
        <v>1538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9" t="s">
        <v>1539</v>
      </c>
      <c r="U3" s="79"/>
      <c r="V3" s="79"/>
      <c r="W3" s="79"/>
      <c r="X3" s="79"/>
      <c r="AB3" s="13"/>
      <c r="AC3" s="13"/>
    </row>
    <row r="4" spans="1:44" x14ac:dyDescent="0.3">
      <c r="A4" s="78" t="s">
        <v>1540</v>
      </c>
      <c r="B4" s="78"/>
      <c r="C4" s="78" t="s">
        <v>1541</v>
      </c>
      <c r="D4" s="78"/>
      <c r="E4" s="78" t="s">
        <v>1542</v>
      </c>
      <c r="F4" s="78"/>
      <c r="G4" s="78" t="s">
        <v>1543</v>
      </c>
      <c r="H4" s="78"/>
      <c r="I4" s="78" t="s">
        <v>1544</v>
      </c>
      <c r="J4" s="78"/>
      <c r="K4" s="78" t="s">
        <v>1545</v>
      </c>
      <c r="L4" s="78"/>
      <c r="M4" s="78" t="s">
        <v>1546</v>
      </c>
      <c r="N4" s="78"/>
      <c r="O4" s="78" t="s">
        <v>1547</v>
      </c>
      <c r="P4" s="78"/>
      <c r="Q4" s="78"/>
      <c r="R4" s="78"/>
      <c r="S4" s="78"/>
      <c r="T4" s="79" t="s">
        <v>1548</v>
      </c>
      <c r="U4" s="79"/>
      <c r="V4" s="79"/>
      <c r="W4" s="79" t="s">
        <v>1549</v>
      </c>
      <c r="X4" s="79"/>
      <c r="Y4" s="81" t="s">
        <v>1550</v>
      </c>
      <c r="Z4" s="81"/>
      <c r="AA4" s="81"/>
      <c r="AB4" s="81"/>
      <c r="AC4" s="81"/>
    </row>
    <row r="5" spans="1:44" x14ac:dyDescent="0.3">
      <c r="A5" s="27" t="s">
        <v>1551</v>
      </c>
      <c r="B5" s="27" t="s">
        <v>1552</v>
      </c>
      <c r="C5" s="27" t="s">
        <v>1553</v>
      </c>
      <c r="D5" s="27" t="s">
        <v>1554</v>
      </c>
      <c r="E5" s="27" t="s">
        <v>1555</v>
      </c>
      <c r="F5" s="27" t="s">
        <v>1556</v>
      </c>
      <c r="G5" s="27" t="s">
        <v>1557</v>
      </c>
      <c r="H5" s="27" t="s">
        <v>1558</v>
      </c>
      <c r="I5" s="27" t="s">
        <v>1559</v>
      </c>
      <c r="J5" s="27" t="s">
        <v>1560</v>
      </c>
      <c r="K5" s="27" t="s">
        <v>1561</v>
      </c>
      <c r="L5" s="27" t="s">
        <v>1562</v>
      </c>
      <c r="M5" s="27" t="s">
        <v>1563</v>
      </c>
      <c r="N5" s="27" t="s">
        <v>1564</v>
      </c>
      <c r="O5" s="27" t="s">
        <v>1565</v>
      </c>
      <c r="P5" s="27" t="s">
        <v>1566</v>
      </c>
      <c r="Q5" s="27" t="s">
        <v>1567</v>
      </c>
      <c r="R5" s="27" t="s">
        <v>1568</v>
      </c>
      <c r="S5" s="27" t="s">
        <v>1569</v>
      </c>
      <c r="T5" s="38" t="s">
        <v>1570</v>
      </c>
      <c r="U5" s="38" t="s">
        <v>1571</v>
      </c>
      <c r="V5" s="38" t="s">
        <v>1572</v>
      </c>
      <c r="W5" s="38" t="s">
        <v>1573</v>
      </c>
      <c r="X5" s="38" t="s">
        <v>1574</v>
      </c>
      <c r="Y5" s="39" t="s">
        <v>1575</v>
      </c>
      <c r="Z5" s="39" t="s">
        <v>1576</v>
      </c>
      <c r="AA5" s="39" t="s">
        <v>1577</v>
      </c>
      <c r="AB5" s="39" t="s">
        <v>1578</v>
      </c>
      <c r="AC5" s="40" t="s">
        <v>1579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41" t="s">
        <v>74</v>
      </c>
      <c r="B6" s="18" t="s">
        <v>1580</v>
      </c>
      <c r="C6" s="41" t="s">
        <v>75</v>
      </c>
      <c r="D6" s="18" t="s">
        <v>1581</v>
      </c>
      <c r="E6" s="41" t="s">
        <v>76</v>
      </c>
      <c r="F6" s="18" t="s">
        <v>1582</v>
      </c>
      <c r="G6" s="41" t="s">
        <v>1583</v>
      </c>
      <c r="H6" s="18" t="s">
        <v>1584</v>
      </c>
      <c r="I6" s="41" t="s">
        <v>1585</v>
      </c>
      <c r="J6" s="18" t="s">
        <v>1586</v>
      </c>
      <c r="K6" s="17" t="s">
        <v>14</v>
      </c>
      <c r="L6" s="18" t="s">
        <v>1587</v>
      </c>
      <c r="M6" s="17" t="s">
        <v>88</v>
      </c>
      <c r="N6" s="18" t="s">
        <v>1588</v>
      </c>
      <c r="O6" s="41" t="s">
        <v>201</v>
      </c>
      <c r="P6" s="18" t="s">
        <v>1589</v>
      </c>
      <c r="Q6" s="41" t="s">
        <v>14</v>
      </c>
      <c r="R6" s="18" t="s">
        <v>1590</v>
      </c>
      <c r="S6" s="18" t="s">
        <v>1591</v>
      </c>
      <c r="T6" s="42" t="s">
        <v>69</v>
      </c>
      <c r="U6" s="47" t="s">
        <v>1592</v>
      </c>
      <c r="V6" s="47" t="s">
        <v>1593</v>
      </c>
      <c r="W6" s="47" t="s">
        <v>1594</v>
      </c>
      <c r="X6" s="16" t="s">
        <v>1595</v>
      </c>
      <c r="Y6" s="16" t="s">
        <v>141</v>
      </c>
      <c r="Z6" s="17" t="s">
        <v>73</v>
      </c>
      <c r="AA6" s="16" t="s">
        <v>1596</v>
      </c>
      <c r="AB6" s="16" t="s">
        <v>1597</v>
      </c>
      <c r="AC6" s="1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1"/>
      <c r="B7" s="18"/>
      <c r="C7" s="41"/>
      <c r="D7" s="16"/>
      <c r="E7" s="41"/>
      <c r="F7" s="16"/>
      <c r="G7" s="41" t="s">
        <v>1598</v>
      </c>
      <c r="H7" s="18" t="s">
        <v>1599</v>
      </c>
      <c r="I7" s="41" t="s">
        <v>1600</v>
      </c>
      <c r="J7" s="18" t="s">
        <v>1601</v>
      </c>
      <c r="K7" s="17" t="s">
        <v>1602</v>
      </c>
      <c r="L7" s="18" t="s">
        <v>1603</v>
      </c>
      <c r="M7" s="17" t="s">
        <v>203</v>
      </c>
      <c r="N7" s="18" t="s">
        <v>1604</v>
      </c>
      <c r="O7" s="41" t="s">
        <v>251</v>
      </c>
      <c r="P7" s="18" t="s">
        <v>1605</v>
      </c>
      <c r="Q7" s="41" t="s">
        <v>106</v>
      </c>
      <c r="R7" s="18" t="s">
        <v>1606</v>
      </c>
      <c r="S7" s="18" t="s">
        <v>1607</v>
      </c>
      <c r="T7" s="42" t="s">
        <v>1608</v>
      </c>
      <c r="U7" s="47" t="s">
        <v>1609</v>
      </c>
      <c r="V7" s="47" t="s">
        <v>1610</v>
      </c>
      <c r="W7" s="47" t="s">
        <v>1611</v>
      </c>
      <c r="X7" s="16" t="s">
        <v>1612</v>
      </c>
      <c r="Y7" s="16" t="s">
        <v>1613</v>
      </c>
      <c r="Z7" s="17" t="s">
        <v>1614</v>
      </c>
      <c r="AA7" s="16" t="s">
        <v>1615</v>
      </c>
      <c r="AB7" s="16" t="s">
        <v>888</v>
      </c>
      <c r="AC7" s="16" t="s">
        <v>1616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1"/>
      <c r="B8" s="18"/>
      <c r="C8" s="41"/>
      <c r="D8" s="18"/>
      <c r="E8" s="41"/>
      <c r="F8" s="16"/>
      <c r="G8" s="41" t="s">
        <v>1617</v>
      </c>
      <c r="H8" s="18" t="s">
        <v>1618</v>
      </c>
      <c r="I8" s="41" t="s">
        <v>1619</v>
      </c>
      <c r="J8" s="18" t="s">
        <v>1597</v>
      </c>
      <c r="K8" s="17" t="s">
        <v>1620</v>
      </c>
      <c r="L8" s="18" t="s">
        <v>1621</v>
      </c>
      <c r="M8" s="17" t="s">
        <v>1622</v>
      </c>
      <c r="N8" s="18" t="s">
        <v>1623</v>
      </c>
      <c r="O8" s="41" t="s">
        <v>184</v>
      </c>
      <c r="P8" s="18" t="s">
        <v>1624</v>
      </c>
      <c r="Q8" s="41" t="s">
        <v>99</v>
      </c>
      <c r="R8" s="18" t="s">
        <v>1625</v>
      </c>
      <c r="S8" s="18"/>
      <c r="T8" s="42" t="s">
        <v>1626</v>
      </c>
      <c r="U8" s="47" t="s">
        <v>1627</v>
      </c>
      <c r="V8" s="47" t="s">
        <v>1628</v>
      </c>
      <c r="W8" s="47" t="s">
        <v>1629</v>
      </c>
      <c r="X8" s="16" t="s">
        <v>1630</v>
      </c>
      <c r="Y8" s="16" t="s">
        <v>1631</v>
      </c>
      <c r="Z8" s="17" t="s">
        <v>1632</v>
      </c>
      <c r="AA8" s="16" t="s">
        <v>1633</v>
      </c>
      <c r="AB8" s="16" t="s">
        <v>1634</v>
      </c>
      <c r="AC8" s="16" t="s">
        <v>1635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1"/>
      <c r="B9" s="18"/>
      <c r="C9" s="41"/>
      <c r="D9" s="18"/>
      <c r="E9" s="41"/>
      <c r="F9" s="16"/>
      <c r="G9" s="41" t="s">
        <v>1636</v>
      </c>
      <c r="H9" s="18" t="s">
        <v>1637</v>
      </c>
      <c r="I9" s="41" t="s">
        <v>1638</v>
      </c>
      <c r="J9" s="18" t="s">
        <v>1639</v>
      </c>
      <c r="K9" s="17" t="s">
        <v>1640</v>
      </c>
      <c r="L9" s="18" t="s">
        <v>1641</v>
      </c>
      <c r="M9" s="17" t="s">
        <v>79</v>
      </c>
      <c r="N9" s="18" t="s">
        <v>1642</v>
      </c>
      <c r="O9" s="41" t="s">
        <v>252</v>
      </c>
      <c r="P9" s="18" t="s">
        <v>1643</v>
      </c>
      <c r="Q9" s="41" t="s">
        <v>180</v>
      </c>
      <c r="R9" s="18" t="s">
        <v>1644</v>
      </c>
      <c r="S9" s="18"/>
      <c r="T9" s="42" t="s">
        <v>1645</v>
      </c>
      <c r="U9" s="47" t="s">
        <v>1646</v>
      </c>
      <c r="V9" s="47" t="s">
        <v>1647</v>
      </c>
      <c r="W9" s="47" t="s">
        <v>1648</v>
      </c>
      <c r="X9" s="16" t="s">
        <v>1649</v>
      </c>
      <c r="Y9" s="16" t="s">
        <v>1650</v>
      </c>
      <c r="Z9" s="17" t="s">
        <v>1651</v>
      </c>
      <c r="AA9" s="16" t="s">
        <v>1652</v>
      </c>
      <c r="AB9" s="16" t="s">
        <v>1653</v>
      </c>
      <c r="AC9" s="16" t="s">
        <v>1654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1"/>
      <c r="B10" s="18"/>
      <c r="C10" s="41"/>
      <c r="D10" s="18"/>
      <c r="E10" s="41"/>
      <c r="F10" s="16"/>
      <c r="G10" s="41" t="s">
        <v>1655</v>
      </c>
      <c r="H10" s="18" t="s">
        <v>1656</v>
      </c>
      <c r="I10" s="41" t="s">
        <v>1657</v>
      </c>
      <c r="J10" s="18" t="s">
        <v>1658</v>
      </c>
      <c r="K10" s="17" t="s">
        <v>1659</v>
      </c>
      <c r="L10" s="18" t="s">
        <v>1660</v>
      </c>
      <c r="M10" s="17" t="s">
        <v>85</v>
      </c>
      <c r="N10" s="18" t="s">
        <v>1661</v>
      </c>
      <c r="O10" s="41" t="s">
        <v>253</v>
      </c>
      <c r="P10" s="18" t="s">
        <v>1662</v>
      </c>
      <c r="Q10" s="41" t="s">
        <v>1663</v>
      </c>
      <c r="R10" s="18" t="s">
        <v>1664</v>
      </c>
      <c r="S10" s="18"/>
      <c r="T10" s="42" t="s">
        <v>1665</v>
      </c>
      <c r="U10" s="47" t="s">
        <v>1666</v>
      </c>
      <c r="V10" s="47" t="s">
        <v>1667</v>
      </c>
      <c r="W10" s="47" t="s">
        <v>1668</v>
      </c>
      <c r="X10" s="16" t="s">
        <v>1669</v>
      </c>
      <c r="Y10" s="16" t="s">
        <v>1670</v>
      </c>
      <c r="Z10" s="17" t="s">
        <v>142</v>
      </c>
      <c r="AA10" s="16" t="s">
        <v>1671</v>
      </c>
      <c r="AB10" s="16" t="s">
        <v>1672</v>
      </c>
      <c r="AC10" s="16" t="s">
        <v>82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1"/>
      <c r="B11" s="18"/>
      <c r="C11" s="41"/>
      <c r="D11" s="18"/>
      <c r="E11" s="41"/>
      <c r="F11" s="16"/>
      <c r="G11" s="41" t="s">
        <v>1673</v>
      </c>
      <c r="H11" s="18" t="s">
        <v>1674</v>
      </c>
      <c r="I11" s="41" t="s">
        <v>1675</v>
      </c>
      <c r="J11" s="18" t="s">
        <v>1018</v>
      </c>
      <c r="K11" s="17" t="s">
        <v>1676</v>
      </c>
      <c r="L11" s="18" t="s">
        <v>1677</v>
      </c>
      <c r="M11" s="17" t="s">
        <v>173</v>
      </c>
      <c r="N11" s="18" t="s">
        <v>1678</v>
      </c>
      <c r="O11" s="41" t="s">
        <v>254</v>
      </c>
      <c r="P11" s="18" t="s">
        <v>1679</v>
      </c>
      <c r="Q11" s="41" t="s">
        <v>1680</v>
      </c>
      <c r="R11" s="18" t="s">
        <v>1681</v>
      </c>
      <c r="S11" s="18"/>
      <c r="T11" s="42" t="s">
        <v>1682</v>
      </c>
      <c r="U11" s="47" t="s">
        <v>1683</v>
      </c>
      <c r="V11" s="47" t="s">
        <v>1684</v>
      </c>
      <c r="W11" s="47" t="s">
        <v>1685</v>
      </c>
      <c r="X11" s="16" t="s">
        <v>1686</v>
      </c>
      <c r="Y11" s="16" t="s">
        <v>1687</v>
      </c>
      <c r="Z11" s="17" t="s">
        <v>1688</v>
      </c>
      <c r="AA11" s="16" t="s">
        <v>1689</v>
      </c>
      <c r="AB11" s="16" t="s">
        <v>1690</v>
      </c>
      <c r="AC11" s="16" t="s">
        <v>1691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1"/>
      <c r="B12" s="18"/>
      <c r="C12" s="41"/>
      <c r="D12" s="18"/>
      <c r="E12" s="41"/>
      <c r="F12" s="16"/>
      <c r="G12" s="41" t="s">
        <v>1692</v>
      </c>
      <c r="H12" s="18" t="s">
        <v>1693</v>
      </c>
      <c r="I12" s="41" t="s">
        <v>1694</v>
      </c>
      <c r="J12" s="18" t="s">
        <v>1695</v>
      </c>
      <c r="K12" s="17" t="s">
        <v>1696</v>
      </c>
      <c r="L12" s="18" t="s">
        <v>1697</v>
      </c>
      <c r="M12" s="17" t="s">
        <v>94</v>
      </c>
      <c r="N12" s="18" t="s">
        <v>1698</v>
      </c>
      <c r="O12" s="41" t="s">
        <v>255</v>
      </c>
      <c r="P12" s="18" t="s">
        <v>1699</v>
      </c>
      <c r="Q12" s="41" t="s">
        <v>1700</v>
      </c>
      <c r="R12" s="18" t="s">
        <v>1701</v>
      </c>
      <c r="S12" s="18"/>
      <c r="T12" s="42" t="s">
        <v>1702</v>
      </c>
      <c r="U12" s="47" t="s">
        <v>1703</v>
      </c>
      <c r="V12" s="47" t="s">
        <v>1704</v>
      </c>
      <c r="W12" s="47" t="s">
        <v>1705</v>
      </c>
      <c r="X12" s="16" t="s">
        <v>1706</v>
      </c>
      <c r="Y12" s="16" t="s">
        <v>1707</v>
      </c>
      <c r="Z12" s="17" t="s">
        <v>1708</v>
      </c>
      <c r="AA12" s="16" t="s">
        <v>1709</v>
      </c>
      <c r="AB12" s="16" t="s">
        <v>1710</v>
      </c>
      <c r="AC12" s="16" t="s">
        <v>1711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1"/>
      <c r="B13" s="18"/>
      <c r="C13" s="41"/>
      <c r="D13" s="18"/>
      <c r="E13" s="41"/>
      <c r="F13" s="16"/>
      <c r="G13" s="41" t="s">
        <v>1712</v>
      </c>
      <c r="H13" s="18" t="s">
        <v>1713</v>
      </c>
      <c r="I13" s="41" t="s">
        <v>1714</v>
      </c>
      <c r="J13" s="18" t="s">
        <v>1715</v>
      </c>
      <c r="K13" s="17" t="s">
        <v>1716</v>
      </c>
      <c r="L13" s="18" t="s">
        <v>1717</v>
      </c>
      <c r="M13" s="17" t="s">
        <v>91</v>
      </c>
      <c r="N13" s="18" t="s">
        <v>1718</v>
      </c>
      <c r="O13" s="41" t="s">
        <v>256</v>
      </c>
      <c r="P13" s="18" t="s">
        <v>1719</v>
      </c>
      <c r="Q13" s="41" t="s">
        <v>1720</v>
      </c>
      <c r="R13" s="18" t="s">
        <v>1721</v>
      </c>
      <c r="S13" s="18"/>
      <c r="T13" s="42" t="s">
        <v>1722</v>
      </c>
      <c r="U13" s="47" t="s">
        <v>1723</v>
      </c>
      <c r="V13" s="47" t="s">
        <v>1724</v>
      </c>
      <c r="W13" s="47" t="s">
        <v>1725</v>
      </c>
      <c r="X13" s="16" t="s">
        <v>1726</v>
      </c>
      <c r="Y13" s="16" t="s">
        <v>1727</v>
      </c>
      <c r="Z13" s="17" t="s">
        <v>1728</v>
      </c>
      <c r="AA13" s="16" t="s">
        <v>1729</v>
      </c>
      <c r="AB13" s="16" t="s">
        <v>885</v>
      </c>
      <c r="AC13" s="16" t="s">
        <v>1730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1"/>
      <c r="B14" s="18"/>
      <c r="C14" s="41"/>
      <c r="D14" s="18"/>
      <c r="E14" s="41"/>
      <c r="F14" s="16"/>
      <c r="G14" s="41" t="s">
        <v>1731</v>
      </c>
      <c r="H14" s="18" t="s">
        <v>1732</v>
      </c>
      <c r="I14" s="41" t="s">
        <v>1733</v>
      </c>
      <c r="J14" s="18" t="s">
        <v>1734</v>
      </c>
      <c r="K14" s="17" t="s">
        <v>1735</v>
      </c>
      <c r="L14" s="18" t="s">
        <v>1736</v>
      </c>
      <c r="M14" s="17" t="s">
        <v>1737</v>
      </c>
      <c r="N14" s="18" t="s">
        <v>1738</v>
      </c>
      <c r="O14" s="41" t="s">
        <v>1739</v>
      </c>
      <c r="P14" s="18" t="s">
        <v>1740</v>
      </c>
      <c r="Q14" s="41" t="s">
        <v>1741</v>
      </c>
      <c r="R14" s="18" t="s">
        <v>1742</v>
      </c>
      <c r="S14" s="18"/>
      <c r="T14" s="42" t="s">
        <v>1743</v>
      </c>
      <c r="U14" s="47" t="s">
        <v>1744</v>
      </c>
      <c r="V14" s="47" t="s">
        <v>1745</v>
      </c>
      <c r="W14" s="47" t="s">
        <v>1746</v>
      </c>
      <c r="X14" s="16" t="s">
        <v>1747</v>
      </c>
      <c r="Y14" s="16" t="s">
        <v>1748</v>
      </c>
      <c r="Z14" s="17" t="s">
        <v>1749</v>
      </c>
      <c r="AA14" s="16" t="s">
        <v>1750</v>
      </c>
      <c r="AB14" s="16" t="s">
        <v>8</v>
      </c>
      <c r="AC14" s="16" t="s">
        <v>1751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1"/>
      <c r="B15" s="18"/>
      <c r="C15" s="41"/>
      <c r="D15" s="18"/>
      <c r="E15" s="41"/>
      <c r="F15" s="18"/>
      <c r="G15" s="41" t="s">
        <v>200</v>
      </c>
      <c r="H15" s="18" t="s">
        <v>1752</v>
      </c>
      <c r="I15" s="41" t="s">
        <v>1692</v>
      </c>
      <c r="J15" s="18" t="s">
        <v>1753</v>
      </c>
      <c r="K15" s="17" t="s">
        <v>1754</v>
      </c>
      <c r="L15" s="18" t="s">
        <v>1755</v>
      </c>
      <c r="M15" s="17" t="s">
        <v>1756</v>
      </c>
      <c r="N15" s="18" t="s">
        <v>1757</v>
      </c>
      <c r="O15" s="41" t="s">
        <v>1758</v>
      </c>
      <c r="P15" s="18" t="s">
        <v>1759</v>
      </c>
      <c r="Q15" s="41" t="s">
        <v>1760</v>
      </c>
      <c r="R15" s="18" t="s">
        <v>1761</v>
      </c>
      <c r="S15" s="18"/>
      <c r="T15" s="42" t="s">
        <v>1762</v>
      </c>
      <c r="U15" s="47" t="s">
        <v>1763</v>
      </c>
      <c r="V15" s="47" t="s">
        <v>1764</v>
      </c>
      <c r="W15" s="47" t="s">
        <v>1765</v>
      </c>
      <c r="X15" s="16" t="s">
        <v>1766</v>
      </c>
      <c r="Y15" s="16" t="s">
        <v>71</v>
      </c>
      <c r="Z15" s="17" t="s">
        <v>1767</v>
      </c>
      <c r="AA15" s="16" t="s">
        <v>1768</v>
      </c>
      <c r="AB15" s="16"/>
      <c r="AC15" s="1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1"/>
      <c r="B16" s="18"/>
      <c r="C16" s="41"/>
      <c r="D16" s="18"/>
      <c r="E16" s="41"/>
      <c r="F16" s="18"/>
      <c r="G16" s="41" t="s">
        <v>1769</v>
      </c>
      <c r="H16" s="18" t="s">
        <v>1770</v>
      </c>
      <c r="I16" s="41" t="s">
        <v>1027</v>
      </c>
      <c r="J16" s="18" t="s">
        <v>1771</v>
      </c>
      <c r="K16" s="17" t="s">
        <v>1772</v>
      </c>
      <c r="L16" s="18" t="s">
        <v>1773</v>
      </c>
      <c r="M16" s="17" t="s">
        <v>1774</v>
      </c>
      <c r="N16" s="18" t="s">
        <v>1775</v>
      </c>
      <c r="O16" s="50"/>
      <c r="P16" s="18"/>
      <c r="Q16" s="41" t="s">
        <v>1776</v>
      </c>
      <c r="R16" s="18" t="s">
        <v>1777</v>
      </c>
      <c r="S16" s="18"/>
      <c r="T16" s="42" t="s">
        <v>1778</v>
      </c>
      <c r="U16" s="47" t="s">
        <v>1779</v>
      </c>
      <c r="V16" s="47" t="s">
        <v>1780</v>
      </c>
      <c r="W16" s="47" t="s">
        <v>1781</v>
      </c>
      <c r="X16" s="16" t="s">
        <v>1782</v>
      </c>
      <c r="Y16" s="16" t="s">
        <v>1783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1"/>
      <c r="B17" s="18"/>
      <c r="C17" s="41"/>
      <c r="D17" s="18"/>
      <c r="E17" s="41"/>
      <c r="F17" s="18"/>
      <c r="G17" s="41" t="s">
        <v>1784</v>
      </c>
      <c r="H17" s="18" t="s">
        <v>1785</v>
      </c>
      <c r="I17" s="41" t="s">
        <v>1786</v>
      </c>
      <c r="J17" s="18" t="s">
        <v>1787</v>
      </c>
      <c r="K17" s="17" t="s">
        <v>1788</v>
      </c>
      <c r="L17" s="18" t="s">
        <v>1789</v>
      </c>
      <c r="M17" s="17" t="s">
        <v>1790</v>
      </c>
      <c r="N17" s="18" t="s">
        <v>1791</v>
      </c>
      <c r="O17" s="50"/>
      <c r="P17" s="18"/>
      <c r="Q17" s="41" t="s">
        <v>1792</v>
      </c>
      <c r="R17" s="18" t="s">
        <v>1793</v>
      </c>
      <c r="S17" s="18"/>
      <c r="T17" s="42" t="s">
        <v>1794</v>
      </c>
      <c r="U17" s="47" t="s">
        <v>1795</v>
      </c>
      <c r="V17" s="47" t="s">
        <v>1796</v>
      </c>
      <c r="W17" s="47" t="s">
        <v>1797</v>
      </c>
      <c r="X17" s="16" t="s">
        <v>1798</v>
      </c>
      <c r="Y17" s="16" t="s">
        <v>1799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1"/>
      <c r="B18" s="18"/>
      <c r="C18" s="41"/>
      <c r="D18" s="18"/>
      <c r="E18" s="41"/>
      <c r="F18" s="18"/>
      <c r="G18" s="41" t="s">
        <v>1800</v>
      </c>
      <c r="H18" s="18" t="s">
        <v>1801</v>
      </c>
      <c r="I18" s="41" t="s">
        <v>1802</v>
      </c>
      <c r="J18" s="18" t="s">
        <v>282</v>
      </c>
      <c r="K18" s="17" t="s">
        <v>268</v>
      </c>
      <c r="L18" s="18" t="s">
        <v>1803</v>
      </c>
      <c r="M18" s="17"/>
      <c r="N18" s="18"/>
      <c r="O18" s="50"/>
      <c r="P18" s="18"/>
      <c r="Q18" s="41" t="s">
        <v>1804</v>
      </c>
      <c r="R18" s="18" t="s">
        <v>1805</v>
      </c>
      <c r="S18" s="18"/>
      <c r="T18" s="42" t="s">
        <v>1806</v>
      </c>
      <c r="U18" s="47" t="s">
        <v>1807</v>
      </c>
      <c r="V18" s="47" t="s">
        <v>1808</v>
      </c>
      <c r="W18" s="47" t="s">
        <v>1809</v>
      </c>
      <c r="X18" s="16" t="s">
        <v>1810</v>
      </c>
      <c r="Y18" s="16" t="s">
        <v>1811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1"/>
      <c r="B19" s="18"/>
      <c r="C19" s="41"/>
      <c r="D19" s="18"/>
      <c r="E19" s="41"/>
      <c r="F19" s="18"/>
      <c r="G19" s="41" t="s">
        <v>1812</v>
      </c>
      <c r="H19" s="18" t="s">
        <v>1813</v>
      </c>
      <c r="I19" s="41" t="s">
        <v>1814</v>
      </c>
      <c r="J19" s="18" t="s">
        <v>1815</v>
      </c>
      <c r="K19" s="17" t="s">
        <v>1816</v>
      </c>
      <c r="L19" s="18" t="s">
        <v>1817</v>
      </c>
      <c r="M19" s="17"/>
      <c r="N19" s="18"/>
      <c r="O19" s="50"/>
      <c r="P19" s="18"/>
      <c r="Q19" s="41" t="s">
        <v>1818</v>
      </c>
      <c r="R19" s="18" t="s">
        <v>1819</v>
      </c>
      <c r="S19" s="18"/>
      <c r="T19" s="51"/>
      <c r="U19" s="47" t="s">
        <v>1820</v>
      </c>
      <c r="V19" s="47" t="s">
        <v>1821</v>
      </c>
      <c r="W19" s="47" t="s">
        <v>1822</v>
      </c>
      <c r="X19" s="16" t="s">
        <v>1823</v>
      </c>
      <c r="Y19" s="16" t="s">
        <v>1824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1"/>
      <c r="B20" s="18"/>
      <c r="C20" s="41"/>
      <c r="D20" s="18"/>
      <c r="E20" s="41"/>
      <c r="F20" s="18"/>
      <c r="G20" s="41" t="s">
        <v>1825</v>
      </c>
      <c r="H20" s="18" t="s">
        <v>1826</v>
      </c>
      <c r="I20" s="41" t="s">
        <v>1827</v>
      </c>
      <c r="J20" s="18" t="s">
        <v>1828</v>
      </c>
      <c r="K20" s="17" t="s">
        <v>289</v>
      </c>
      <c r="L20" s="18" t="s">
        <v>1829</v>
      </c>
      <c r="M20" s="17"/>
      <c r="N20" s="18"/>
      <c r="O20" s="50"/>
      <c r="P20" s="18"/>
      <c r="Q20" s="41" t="s">
        <v>1830</v>
      </c>
      <c r="R20" s="18" t="s">
        <v>1831</v>
      </c>
      <c r="S20" s="18"/>
      <c r="T20" s="51"/>
      <c r="U20" s="47" t="s">
        <v>1832</v>
      </c>
      <c r="V20" s="47" t="s">
        <v>1833</v>
      </c>
      <c r="W20" s="47"/>
      <c r="X20" s="16"/>
      <c r="Y20" s="16" t="s">
        <v>1834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1"/>
      <c r="B21" s="18"/>
      <c r="C21" s="41"/>
      <c r="D21" s="18"/>
      <c r="E21" s="41"/>
      <c r="F21" s="18"/>
      <c r="G21" s="41" t="s">
        <v>1827</v>
      </c>
      <c r="H21" s="18" t="s">
        <v>1835</v>
      </c>
      <c r="I21" s="41" t="s">
        <v>1836</v>
      </c>
      <c r="J21" s="18" t="s">
        <v>1837</v>
      </c>
      <c r="K21" s="17" t="s">
        <v>338</v>
      </c>
      <c r="L21" s="18" t="s">
        <v>1838</v>
      </c>
      <c r="M21" s="17"/>
      <c r="N21" s="18"/>
      <c r="O21" s="50"/>
      <c r="P21" s="18"/>
      <c r="Q21" s="41" t="s">
        <v>80</v>
      </c>
      <c r="R21" s="18" t="s">
        <v>1588</v>
      </c>
      <c r="S21" s="18"/>
      <c r="T21" s="51"/>
      <c r="U21" s="47" t="s">
        <v>1839</v>
      </c>
      <c r="V21" s="47" t="s">
        <v>1840</v>
      </c>
      <c r="W21" s="47"/>
      <c r="X21" s="16"/>
      <c r="Y21" s="16" t="s">
        <v>1841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1"/>
      <c r="B22" s="18"/>
      <c r="C22" s="41"/>
      <c r="D22" s="18"/>
      <c r="E22" s="41"/>
      <c r="F22" s="18"/>
      <c r="G22" s="41" t="s">
        <v>1842</v>
      </c>
      <c r="H22" s="18" t="s">
        <v>1843</v>
      </c>
      <c r="I22" s="41" t="s">
        <v>1844</v>
      </c>
      <c r="J22" s="18" t="s">
        <v>1845</v>
      </c>
      <c r="K22" s="17" t="s">
        <v>1846</v>
      </c>
      <c r="L22" s="18" t="s">
        <v>1847</v>
      </c>
      <c r="M22" s="17"/>
      <c r="N22" s="18"/>
      <c r="O22" s="50"/>
      <c r="P22" s="18"/>
      <c r="Q22" s="50"/>
      <c r="R22" s="18"/>
      <c r="S22" s="18"/>
      <c r="T22" s="51"/>
      <c r="U22" s="47" t="s">
        <v>1848</v>
      </c>
      <c r="V22" s="47" t="s">
        <v>1849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1"/>
      <c r="B23" s="18"/>
      <c r="C23" s="41"/>
      <c r="D23" s="18"/>
      <c r="E23" s="41"/>
      <c r="F23" s="18"/>
      <c r="G23" s="41" t="s">
        <v>1850</v>
      </c>
      <c r="H23" s="18" t="s">
        <v>1851</v>
      </c>
      <c r="I23" s="41" t="s">
        <v>1852</v>
      </c>
      <c r="J23" s="18" t="s">
        <v>1853</v>
      </c>
      <c r="K23" s="17" t="s">
        <v>1854</v>
      </c>
      <c r="L23" s="18" t="s">
        <v>1855</v>
      </c>
      <c r="M23" s="17"/>
      <c r="N23" s="18"/>
      <c r="O23" s="50"/>
      <c r="P23" s="18"/>
      <c r="Q23" s="50"/>
      <c r="R23" s="18"/>
      <c r="S23" s="18"/>
      <c r="T23" s="51"/>
      <c r="U23" s="47" t="s">
        <v>1856</v>
      </c>
      <c r="V23" s="47" t="s">
        <v>1857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1"/>
      <c r="B24" s="18"/>
      <c r="C24" s="41"/>
      <c r="D24" s="18"/>
      <c r="E24" s="41"/>
      <c r="F24" s="18"/>
      <c r="G24" s="41" t="s">
        <v>1858</v>
      </c>
      <c r="H24" s="18" t="s">
        <v>1859</v>
      </c>
      <c r="I24" s="41" t="s">
        <v>1860</v>
      </c>
      <c r="J24" s="18" t="s">
        <v>1861</v>
      </c>
      <c r="K24" s="17" t="s">
        <v>397</v>
      </c>
      <c r="L24" s="18" t="s">
        <v>1862</v>
      </c>
      <c r="M24" s="17"/>
      <c r="N24" s="18"/>
      <c r="O24" s="50"/>
      <c r="P24" s="18"/>
      <c r="Q24" s="50"/>
      <c r="R24" s="18"/>
      <c r="S24" s="18"/>
      <c r="T24" s="51"/>
      <c r="U24" s="47" t="s">
        <v>1863</v>
      </c>
      <c r="V24" s="47" t="s">
        <v>1864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1"/>
      <c r="B25" s="18"/>
      <c r="C25" s="41"/>
      <c r="D25" s="18"/>
      <c r="E25" s="41"/>
      <c r="F25" s="18"/>
      <c r="G25" s="41" t="s">
        <v>1865</v>
      </c>
      <c r="H25" s="18" t="s">
        <v>1866</v>
      </c>
      <c r="I25" s="41" t="s">
        <v>1867</v>
      </c>
      <c r="J25" s="18" t="s">
        <v>1868</v>
      </c>
      <c r="K25" s="17" t="s">
        <v>1869</v>
      </c>
      <c r="L25" s="18" t="s">
        <v>1870</v>
      </c>
      <c r="M25" s="17"/>
      <c r="N25" s="18"/>
      <c r="O25" s="50"/>
      <c r="P25" s="18"/>
      <c r="Q25" s="50"/>
      <c r="R25" s="18"/>
      <c r="S25" s="18"/>
      <c r="T25" s="51"/>
      <c r="U25" s="47" t="s">
        <v>1871</v>
      </c>
      <c r="V25" s="47" t="s">
        <v>1872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1"/>
      <c r="B26" s="18"/>
      <c r="C26" s="41"/>
      <c r="D26" s="18"/>
      <c r="E26" s="41"/>
      <c r="F26" s="18"/>
      <c r="G26" s="41" t="s">
        <v>1873</v>
      </c>
      <c r="H26" s="18" t="s">
        <v>1874</v>
      </c>
      <c r="I26" s="41" t="s">
        <v>1875</v>
      </c>
      <c r="J26" s="18" t="s">
        <v>888</v>
      </c>
      <c r="K26" s="17" t="s">
        <v>1876</v>
      </c>
      <c r="L26" s="18" t="s">
        <v>1877</v>
      </c>
      <c r="M26" s="17"/>
      <c r="N26" s="18"/>
      <c r="O26" s="50"/>
      <c r="P26" s="18"/>
      <c r="Q26" s="50"/>
      <c r="R26" s="18"/>
      <c r="S26" s="18"/>
      <c r="T26" s="51"/>
      <c r="U26" s="47" t="s">
        <v>1878</v>
      </c>
      <c r="V26" s="47" t="s">
        <v>1879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1"/>
      <c r="B27" s="18"/>
      <c r="C27" s="41"/>
      <c r="D27" s="18"/>
      <c r="E27" s="41"/>
      <c r="F27" s="18"/>
      <c r="G27" s="41" t="s">
        <v>1880</v>
      </c>
      <c r="H27" s="18" t="s">
        <v>1881</v>
      </c>
      <c r="I27" s="41" t="s">
        <v>1882</v>
      </c>
      <c r="J27" s="18" t="s">
        <v>1883</v>
      </c>
      <c r="K27" s="17" t="s">
        <v>311</v>
      </c>
      <c r="L27" s="18" t="s">
        <v>1884</v>
      </c>
      <c r="M27" s="17"/>
      <c r="N27" s="18"/>
      <c r="O27" s="50"/>
      <c r="P27" s="18"/>
      <c r="Q27" s="50"/>
      <c r="R27" s="18"/>
      <c r="S27" s="18"/>
      <c r="T27" s="51"/>
      <c r="U27" s="47" t="s">
        <v>70</v>
      </c>
      <c r="V27" s="47" t="s">
        <v>1885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1"/>
      <c r="B28" s="18"/>
      <c r="C28" s="41"/>
      <c r="D28" s="18"/>
      <c r="E28" s="41"/>
      <c r="F28" s="18"/>
      <c r="G28" s="41" t="s">
        <v>1886</v>
      </c>
      <c r="H28" s="18" t="s">
        <v>1887</v>
      </c>
      <c r="I28" s="41" t="s">
        <v>1888</v>
      </c>
      <c r="J28" s="18" t="s">
        <v>1889</v>
      </c>
      <c r="K28" s="17" t="s">
        <v>1890</v>
      </c>
      <c r="L28" s="18" t="s">
        <v>1891</v>
      </c>
      <c r="M28" s="17"/>
      <c r="N28" s="18"/>
      <c r="O28" s="50"/>
      <c r="P28" s="18"/>
      <c r="Q28" s="50"/>
      <c r="R28" s="18"/>
      <c r="S28" s="18"/>
      <c r="T28" s="51"/>
      <c r="U28" s="47" t="s">
        <v>1892</v>
      </c>
      <c r="V28" s="47" t="s">
        <v>1893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1"/>
      <c r="B29" s="18"/>
      <c r="C29" s="41"/>
      <c r="D29" s="18"/>
      <c r="E29" s="41"/>
      <c r="F29" s="18"/>
      <c r="G29" s="41" t="s">
        <v>1894</v>
      </c>
      <c r="H29" s="18" t="s">
        <v>1895</v>
      </c>
      <c r="I29" s="41" t="s">
        <v>1896</v>
      </c>
      <c r="J29" s="18" t="s">
        <v>1897</v>
      </c>
      <c r="K29" s="17" t="s">
        <v>1898</v>
      </c>
      <c r="L29" s="18" t="s">
        <v>1899</v>
      </c>
      <c r="M29" s="17"/>
      <c r="N29" s="18"/>
      <c r="O29" s="50"/>
      <c r="P29" s="18"/>
      <c r="Q29" s="50"/>
      <c r="R29" s="18"/>
      <c r="S29" s="18"/>
      <c r="T29" s="51"/>
      <c r="U29" s="47" t="s">
        <v>1900</v>
      </c>
      <c r="V29" s="47" t="s">
        <v>1901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1"/>
      <c r="B30" s="18"/>
      <c r="C30" s="41"/>
      <c r="D30" s="18"/>
      <c r="E30" s="41"/>
      <c r="F30" s="18"/>
      <c r="G30" s="41" t="s">
        <v>1902</v>
      </c>
      <c r="H30" s="18" t="s">
        <v>1596</v>
      </c>
      <c r="I30" s="41" t="s">
        <v>1903</v>
      </c>
      <c r="J30" s="18" t="s">
        <v>1424</v>
      </c>
      <c r="K30" s="17" t="s">
        <v>1904</v>
      </c>
      <c r="L30" s="18" t="s">
        <v>1905</v>
      </c>
      <c r="M30" s="17"/>
      <c r="N30" s="18"/>
      <c r="O30" s="50"/>
      <c r="P30" s="18"/>
      <c r="Q30" s="50"/>
      <c r="R30" s="18"/>
      <c r="S30" s="18"/>
      <c r="T30" s="51"/>
      <c r="U30" s="47" t="s">
        <v>1906</v>
      </c>
      <c r="V30" s="47" t="s">
        <v>1907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1"/>
      <c r="B31" s="18"/>
      <c r="C31" s="41"/>
      <c r="D31" s="18"/>
      <c r="E31" s="41"/>
      <c r="F31" s="18"/>
      <c r="G31" s="41" t="s">
        <v>1908</v>
      </c>
      <c r="H31" s="18" t="s">
        <v>1909</v>
      </c>
      <c r="I31" s="41" t="s">
        <v>1910</v>
      </c>
      <c r="J31" s="18" t="s">
        <v>1911</v>
      </c>
      <c r="K31" s="17" t="s">
        <v>294</v>
      </c>
      <c r="L31" s="18" t="s">
        <v>1912</v>
      </c>
      <c r="M31" s="17"/>
      <c r="N31" s="18"/>
      <c r="O31" s="50"/>
      <c r="P31" s="18"/>
      <c r="Q31" s="50"/>
      <c r="R31" s="18"/>
      <c r="S31" s="18"/>
      <c r="T31" s="51"/>
      <c r="U31" s="47" t="s">
        <v>1913</v>
      </c>
      <c r="V31" s="47" t="s">
        <v>1914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1"/>
      <c r="B32" s="18"/>
      <c r="C32" s="41"/>
      <c r="D32" s="18"/>
      <c r="E32" s="41"/>
      <c r="F32" s="18"/>
      <c r="G32" s="41" t="s">
        <v>1915</v>
      </c>
      <c r="H32" s="18" t="s">
        <v>1916</v>
      </c>
      <c r="I32" s="41" t="s">
        <v>1917</v>
      </c>
      <c r="J32" s="18" t="s">
        <v>1918</v>
      </c>
      <c r="K32" s="17" t="s">
        <v>1919</v>
      </c>
      <c r="L32" s="18" t="s">
        <v>1920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1921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1"/>
      <c r="B33" s="18"/>
      <c r="C33" s="41"/>
      <c r="D33" s="18"/>
      <c r="E33" s="41"/>
      <c r="F33" s="18"/>
      <c r="G33" s="41" t="s">
        <v>1922</v>
      </c>
      <c r="H33" s="18" t="s">
        <v>1923</v>
      </c>
      <c r="I33" s="41" t="s">
        <v>1924</v>
      </c>
      <c r="J33" s="18" t="s">
        <v>1925</v>
      </c>
      <c r="K33" s="17" t="s">
        <v>1926</v>
      </c>
      <c r="L33" s="18" t="s">
        <v>1927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1928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1"/>
      <c r="B34" s="18"/>
      <c r="C34" s="41"/>
      <c r="D34" s="18"/>
      <c r="E34" s="41"/>
      <c r="F34" s="18"/>
      <c r="G34" s="41" t="s">
        <v>1929</v>
      </c>
      <c r="H34" s="18" t="s">
        <v>1930</v>
      </c>
      <c r="I34" s="41" t="s">
        <v>1931</v>
      </c>
      <c r="J34" s="18" t="s">
        <v>1932</v>
      </c>
      <c r="K34" s="17" t="s">
        <v>307</v>
      </c>
      <c r="L34" s="18" t="s">
        <v>1933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1934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1"/>
      <c r="B35" s="18"/>
      <c r="C35" s="41"/>
      <c r="D35" s="18"/>
      <c r="E35" s="41"/>
      <c r="F35" s="18"/>
      <c r="G35" s="41" t="s">
        <v>1935</v>
      </c>
      <c r="H35" s="18" t="s">
        <v>1936</v>
      </c>
      <c r="I35" s="41" t="s">
        <v>1937</v>
      </c>
      <c r="J35" s="18" t="s">
        <v>1938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1939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1"/>
      <c r="B36" s="18"/>
      <c r="C36" s="41"/>
      <c r="D36" s="18"/>
      <c r="E36" s="41"/>
      <c r="F36" s="18"/>
      <c r="G36" s="41" t="s">
        <v>1940</v>
      </c>
      <c r="H36" s="18" t="s">
        <v>1941</v>
      </c>
      <c r="I36" s="41" t="s">
        <v>569</v>
      </c>
      <c r="J36" s="18" t="s">
        <v>1942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1943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1"/>
      <c r="B37" s="18"/>
      <c r="C37" s="41"/>
      <c r="D37" s="18"/>
      <c r="E37" s="41"/>
      <c r="F37" s="18"/>
      <c r="G37" s="41" t="s">
        <v>1944</v>
      </c>
      <c r="H37" s="18" t="s">
        <v>1945</v>
      </c>
      <c r="I37" s="41" t="s">
        <v>1946</v>
      </c>
      <c r="J37" s="18" t="s">
        <v>1947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1"/>
      <c r="B38" s="18"/>
      <c r="C38" s="41"/>
      <c r="D38" s="18"/>
      <c r="E38" s="41"/>
      <c r="F38" s="18"/>
      <c r="G38" s="41" t="s">
        <v>1948</v>
      </c>
      <c r="H38" s="18" t="s">
        <v>1949</v>
      </c>
      <c r="I38" s="41" t="s">
        <v>1950</v>
      </c>
      <c r="J38" s="18" t="s">
        <v>1951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1"/>
      <c r="B39" s="18"/>
      <c r="C39" s="41"/>
      <c r="D39" s="18"/>
      <c r="E39" s="41"/>
      <c r="F39" s="18"/>
      <c r="G39" s="41" t="s">
        <v>1952</v>
      </c>
      <c r="H39" s="18" t="s">
        <v>1953</v>
      </c>
      <c r="I39" s="41" t="s">
        <v>1954</v>
      </c>
      <c r="J39" s="18" t="s">
        <v>1955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1"/>
      <c r="B40" s="18"/>
      <c r="C40" s="41"/>
      <c r="D40" s="18"/>
      <c r="E40" s="41"/>
      <c r="F40" s="18"/>
      <c r="G40" s="41" t="s">
        <v>1956</v>
      </c>
      <c r="H40" s="18" t="s">
        <v>1957</v>
      </c>
      <c r="I40" s="41" t="s">
        <v>1958</v>
      </c>
      <c r="J40" s="18" t="s">
        <v>1959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1"/>
      <c r="B41" s="18"/>
      <c r="C41" s="41"/>
      <c r="D41" s="18"/>
      <c r="E41" s="41"/>
      <c r="F41" s="18"/>
      <c r="G41" s="41" t="s">
        <v>1960</v>
      </c>
      <c r="H41" s="18" t="s">
        <v>1961</v>
      </c>
      <c r="I41" s="41" t="s">
        <v>1962</v>
      </c>
      <c r="J41" s="18" t="s">
        <v>1963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1"/>
      <c r="B42" s="18"/>
      <c r="C42" s="41"/>
      <c r="D42" s="18"/>
      <c r="E42" s="41"/>
      <c r="F42" s="18"/>
      <c r="G42" s="41" t="s">
        <v>1964</v>
      </c>
      <c r="H42" s="18" t="s">
        <v>1965</v>
      </c>
      <c r="I42" s="41" t="s">
        <v>1966</v>
      </c>
      <c r="J42" s="18" t="s">
        <v>1967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1"/>
      <c r="B43" s="18"/>
      <c r="C43" s="41"/>
      <c r="D43" s="18"/>
      <c r="E43" s="41"/>
      <c r="F43" s="18"/>
      <c r="G43" s="41" t="s">
        <v>1968</v>
      </c>
      <c r="H43" s="18" t="s">
        <v>1969</v>
      </c>
      <c r="I43" s="41" t="s">
        <v>1970</v>
      </c>
      <c r="J43" s="18" t="s">
        <v>1971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1"/>
      <c r="B44" s="18"/>
      <c r="C44" s="41"/>
      <c r="D44" s="18"/>
      <c r="E44" s="41"/>
      <c r="F44" s="18"/>
      <c r="G44" s="41" t="s">
        <v>1972</v>
      </c>
      <c r="H44" s="18" t="s">
        <v>1973</v>
      </c>
      <c r="I44" s="41" t="s">
        <v>1974</v>
      </c>
      <c r="J44" s="18" t="s">
        <v>1975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1"/>
      <c r="B45" s="18"/>
      <c r="C45" s="41"/>
      <c r="D45" s="18"/>
      <c r="E45" s="41"/>
      <c r="F45" s="18"/>
      <c r="G45" s="41" t="s">
        <v>1976</v>
      </c>
      <c r="H45" s="18" t="s">
        <v>1977</v>
      </c>
      <c r="I45" s="41" t="s">
        <v>1978</v>
      </c>
      <c r="J45" s="18" t="s">
        <v>1690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1"/>
      <c r="B46" s="18"/>
      <c r="C46" s="41"/>
      <c r="D46" s="18"/>
      <c r="E46" s="41"/>
      <c r="F46" s="18"/>
      <c r="G46" s="41" t="s">
        <v>1979</v>
      </c>
      <c r="H46" s="18" t="s">
        <v>1980</v>
      </c>
      <c r="I46" s="41" t="s">
        <v>1940</v>
      </c>
      <c r="J46" s="18" t="s">
        <v>1981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1"/>
      <c r="B47" s="18"/>
      <c r="C47" s="41"/>
      <c r="D47" s="18"/>
      <c r="E47" s="41"/>
      <c r="F47" s="18"/>
      <c r="G47" s="41" t="s">
        <v>1982</v>
      </c>
      <c r="H47" s="18" t="s">
        <v>1983</v>
      </c>
      <c r="I47" s="41" t="s">
        <v>1984</v>
      </c>
      <c r="J47" s="18" t="s">
        <v>1985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1"/>
      <c r="B48" s="18"/>
      <c r="C48" s="41"/>
      <c r="D48" s="18"/>
      <c r="E48" s="41"/>
      <c r="F48" s="18"/>
      <c r="G48" s="41" t="s">
        <v>1986</v>
      </c>
      <c r="H48" s="18" t="s">
        <v>1987</v>
      </c>
      <c r="I48" s="41" t="s">
        <v>1988</v>
      </c>
      <c r="J48" s="18" t="s">
        <v>1672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1"/>
      <c r="B49" s="18"/>
      <c r="C49" s="41"/>
      <c r="D49" s="18"/>
      <c r="E49" s="41"/>
      <c r="F49" s="18"/>
      <c r="G49" s="41" t="s">
        <v>1989</v>
      </c>
      <c r="H49" s="18" t="s">
        <v>1990</v>
      </c>
      <c r="I49" s="41" t="s">
        <v>1991</v>
      </c>
      <c r="J49" s="18" t="s">
        <v>1992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1"/>
      <c r="B50" s="18"/>
      <c r="C50" s="41"/>
      <c r="D50" s="18"/>
      <c r="E50" s="41"/>
      <c r="F50" s="18"/>
      <c r="G50" s="41" t="s">
        <v>1993</v>
      </c>
      <c r="H50" s="18" t="s">
        <v>1633</v>
      </c>
      <c r="I50" s="41" t="s">
        <v>1994</v>
      </c>
      <c r="J50" s="18" t="s">
        <v>1995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1"/>
      <c r="B51" s="18"/>
      <c r="C51" s="41"/>
      <c r="D51" s="18"/>
      <c r="E51" s="41"/>
      <c r="F51" s="18"/>
      <c r="G51" s="41" t="s">
        <v>1996</v>
      </c>
      <c r="H51" s="18" t="s">
        <v>1997</v>
      </c>
      <c r="I51" s="41" t="s">
        <v>1998</v>
      </c>
      <c r="J51" s="18" t="s">
        <v>1710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1"/>
      <c r="B52" s="18"/>
      <c r="C52" s="41"/>
      <c r="D52" s="18"/>
      <c r="E52" s="41"/>
      <c r="F52" s="18"/>
      <c r="G52" s="41" t="s">
        <v>1999</v>
      </c>
      <c r="H52" s="18" t="s">
        <v>2000</v>
      </c>
      <c r="I52" s="41" t="s">
        <v>2001</v>
      </c>
      <c r="J52" s="18" t="s">
        <v>2002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1"/>
      <c r="B53" s="18"/>
      <c r="C53" s="41"/>
      <c r="D53" s="18"/>
      <c r="E53" s="41"/>
      <c r="F53" s="18"/>
      <c r="G53" s="41" t="s">
        <v>2003</v>
      </c>
      <c r="H53" s="18" t="s">
        <v>2004</v>
      </c>
      <c r="I53" s="41" t="s">
        <v>2005</v>
      </c>
      <c r="J53" s="18" t="s">
        <v>2006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1"/>
      <c r="B54" s="18"/>
      <c r="C54" s="41"/>
      <c r="D54" s="18"/>
      <c r="E54" s="41"/>
      <c r="F54" s="18"/>
      <c r="G54" s="41" t="s">
        <v>2007</v>
      </c>
      <c r="H54" s="18" t="s">
        <v>2008</v>
      </c>
      <c r="I54" s="41" t="s">
        <v>2009</v>
      </c>
      <c r="J54" s="18" t="s">
        <v>2010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1"/>
      <c r="B55" s="18"/>
      <c r="C55" s="41"/>
      <c r="D55" s="18"/>
      <c r="E55" s="41"/>
      <c r="F55" s="18"/>
      <c r="G55" s="41" t="s">
        <v>2011</v>
      </c>
      <c r="H55" s="18" t="s">
        <v>2012</v>
      </c>
      <c r="I55" s="41" t="s">
        <v>2013</v>
      </c>
      <c r="J55" s="18" t="s">
        <v>2013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1"/>
      <c r="B56" s="18"/>
      <c r="C56" s="41"/>
      <c r="D56" s="18"/>
      <c r="E56" s="41"/>
      <c r="F56" s="18"/>
      <c r="G56" s="41" t="s">
        <v>2014</v>
      </c>
      <c r="H56" s="18" t="s">
        <v>2015</v>
      </c>
      <c r="I56" s="41" t="s">
        <v>1976</v>
      </c>
      <c r="J56" s="18" t="s">
        <v>2016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1"/>
      <c r="B57" s="18"/>
      <c r="C57" s="41"/>
      <c r="D57" s="18"/>
      <c r="E57" s="41"/>
      <c r="F57" s="18"/>
      <c r="G57" s="41" t="s">
        <v>2017</v>
      </c>
      <c r="H57" s="18" t="s">
        <v>2018</v>
      </c>
      <c r="I57" s="41" t="s">
        <v>1972</v>
      </c>
      <c r="J57" s="18" t="s">
        <v>2019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1"/>
      <c r="B58" s="18"/>
      <c r="C58" s="41"/>
      <c r="D58" s="18"/>
      <c r="E58" s="41"/>
      <c r="F58" s="18"/>
      <c r="G58" s="41" t="s">
        <v>2020</v>
      </c>
      <c r="H58" s="18" t="s">
        <v>2021</v>
      </c>
      <c r="I58" s="41" t="s">
        <v>2022</v>
      </c>
      <c r="J58" s="18" t="s">
        <v>885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1"/>
      <c r="B59" s="18"/>
      <c r="C59" s="41"/>
      <c r="D59" s="18"/>
      <c r="E59" s="41"/>
      <c r="F59" s="18"/>
      <c r="G59" s="41" t="s">
        <v>2023</v>
      </c>
      <c r="H59" s="18" t="s">
        <v>2024</v>
      </c>
      <c r="I59" s="41" t="s">
        <v>2025</v>
      </c>
      <c r="J59" s="18" t="s">
        <v>2026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1"/>
      <c r="B60" s="18"/>
      <c r="C60" s="41"/>
      <c r="D60" s="18"/>
      <c r="E60" s="41"/>
      <c r="F60" s="18"/>
      <c r="G60" s="41" t="s">
        <v>2027</v>
      </c>
      <c r="H60" s="18" t="s">
        <v>2028</v>
      </c>
      <c r="I60" s="41" t="s">
        <v>883</v>
      </c>
      <c r="J60" s="18" t="s">
        <v>2029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1"/>
      <c r="B61" s="18"/>
      <c r="C61" s="41"/>
      <c r="D61" s="18"/>
      <c r="E61" s="41"/>
      <c r="F61" s="18"/>
      <c r="G61" s="41" t="s">
        <v>2030</v>
      </c>
      <c r="H61" s="18" t="s">
        <v>2031</v>
      </c>
      <c r="I61" s="41" t="s">
        <v>2032</v>
      </c>
      <c r="J61" s="18" t="s">
        <v>2033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1"/>
      <c r="B62" s="18"/>
      <c r="C62" s="41"/>
      <c r="D62" s="18"/>
      <c r="E62" s="41"/>
      <c r="F62" s="18"/>
      <c r="G62" s="41" t="s">
        <v>2034</v>
      </c>
      <c r="H62" s="18" t="s">
        <v>2035</v>
      </c>
      <c r="I62" s="41" t="s">
        <v>2036</v>
      </c>
      <c r="J62" s="18" t="s">
        <v>2037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1"/>
      <c r="B63" s="18"/>
      <c r="C63" s="41"/>
      <c r="D63" s="18"/>
      <c r="E63" s="41"/>
      <c r="F63" s="18"/>
      <c r="G63" s="41" t="s">
        <v>2038</v>
      </c>
      <c r="H63" s="18" t="s">
        <v>2039</v>
      </c>
      <c r="I63" s="41" t="s">
        <v>2040</v>
      </c>
      <c r="J63" s="18" t="s">
        <v>2041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1"/>
      <c r="B64" s="18"/>
      <c r="C64" s="41"/>
      <c r="D64" s="18"/>
      <c r="E64" s="41"/>
      <c r="F64" s="18"/>
      <c r="G64" s="41" t="s">
        <v>2042</v>
      </c>
      <c r="H64" s="18" t="s">
        <v>1768</v>
      </c>
      <c r="I64" s="41" t="s">
        <v>2043</v>
      </c>
      <c r="J64" s="18" t="s">
        <v>1040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1"/>
      <c r="B65" s="18"/>
      <c r="C65" s="41"/>
      <c r="D65" s="18"/>
      <c r="E65" s="41"/>
      <c r="F65" s="18"/>
      <c r="G65" s="41" t="s">
        <v>2044</v>
      </c>
      <c r="H65" s="18" t="s">
        <v>2045</v>
      </c>
      <c r="I65" s="41" t="s">
        <v>2046</v>
      </c>
      <c r="J65" s="18" t="s">
        <v>2047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1"/>
      <c r="B66" s="18"/>
      <c r="C66" s="41"/>
      <c r="D66" s="18"/>
      <c r="E66" s="41"/>
      <c r="F66" s="18"/>
      <c r="G66" s="41" t="s">
        <v>2048</v>
      </c>
      <c r="H66" s="18" t="s">
        <v>2049</v>
      </c>
      <c r="I66" s="41" t="s">
        <v>2050</v>
      </c>
      <c r="J66" s="18" t="s">
        <v>2051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1"/>
      <c r="B67" s="18"/>
      <c r="C67" s="41"/>
      <c r="D67" s="18"/>
      <c r="E67" s="41"/>
      <c r="F67" s="18"/>
      <c r="G67" s="41" t="s">
        <v>2052</v>
      </c>
      <c r="H67" s="18" t="s">
        <v>2053</v>
      </c>
      <c r="I67" s="41" t="s">
        <v>2054</v>
      </c>
      <c r="J67" s="18" t="s">
        <v>2055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1"/>
      <c r="B68" s="18"/>
      <c r="C68" s="41"/>
      <c r="D68" s="18"/>
      <c r="E68" s="41"/>
      <c r="F68" s="18"/>
      <c r="G68" s="41" t="s">
        <v>2056</v>
      </c>
      <c r="H68" s="18" t="s">
        <v>2057</v>
      </c>
      <c r="I68" s="41" t="s">
        <v>2058</v>
      </c>
      <c r="J68" s="18" t="s">
        <v>2059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1"/>
      <c r="B69" s="18"/>
      <c r="C69" s="41"/>
      <c r="D69" s="18"/>
      <c r="E69" s="41"/>
      <c r="F69" s="18"/>
      <c r="G69" s="41" t="s">
        <v>2060</v>
      </c>
      <c r="H69" s="18" t="s">
        <v>2061</v>
      </c>
      <c r="I69" s="41" t="s">
        <v>2062</v>
      </c>
      <c r="J69" s="18" t="s">
        <v>2063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1"/>
      <c r="B70" s="18"/>
      <c r="C70" s="41"/>
      <c r="D70" s="18"/>
      <c r="E70" s="41"/>
      <c r="F70" s="18"/>
      <c r="G70" s="41" t="s">
        <v>2064</v>
      </c>
      <c r="H70" s="18" t="s">
        <v>2065</v>
      </c>
      <c r="I70" s="41" t="s">
        <v>2066</v>
      </c>
      <c r="J70" s="18" t="s">
        <v>2067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1"/>
      <c r="B71" s="18"/>
      <c r="C71" s="41"/>
      <c r="D71" s="18"/>
      <c r="E71" s="41"/>
      <c r="F71" s="18"/>
      <c r="G71" s="41" t="s">
        <v>2068</v>
      </c>
      <c r="H71" s="18" t="s">
        <v>2069</v>
      </c>
      <c r="I71" s="41" t="s">
        <v>2070</v>
      </c>
      <c r="J71" s="18" t="s">
        <v>2071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1"/>
      <c r="B72" s="18"/>
      <c r="C72" s="41"/>
      <c r="D72" s="18"/>
      <c r="E72" s="41"/>
      <c r="F72" s="18"/>
      <c r="G72" s="41" t="s">
        <v>2072</v>
      </c>
      <c r="H72" s="18" t="s">
        <v>2073</v>
      </c>
      <c r="I72" s="41" t="s">
        <v>2074</v>
      </c>
      <c r="J72" s="18" t="s">
        <v>2075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1"/>
      <c r="B73" s="18"/>
      <c r="C73" s="41"/>
      <c r="D73" s="18"/>
      <c r="E73" s="41"/>
      <c r="F73" s="18"/>
      <c r="G73" s="41" t="s">
        <v>2076</v>
      </c>
      <c r="H73" s="18" t="s">
        <v>2077</v>
      </c>
      <c r="I73" s="41" t="s">
        <v>2078</v>
      </c>
      <c r="J73" s="18" t="s">
        <v>2079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1"/>
      <c r="B74" s="18"/>
      <c r="C74" s="41"/>
      <c r="D74" s="18"/>
      <c r="E74" s="41"/>
      <c r="F74" s="18"/>
      <c r="G74" s="41" t="s">
        <v>2080</v>
      </c>
      <c r="H74" s="18" t="s">
        <v>1689</v>
      </c>
      <c r="I74" s="41" t="s">
        <v>2081</v>
      </c>
      <c r="J74" s="18" t="s">
        <v>2082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1"/>
      <c r="B75" s="18"/>
      <c r="C75" s="41"/>
      <c r="D75" s="18"/>
      <c r="E75" s="41"/>
      <c r="F75" s="18"/>
      <c r="G75" s="41" t="s">
        <v>2083</v>
      </c>
      <c r="H75" s="18" t="s">
        <v>2084</v>
      </c>
      <c r="I75" s="41" t="s">
        <v>2085</v>
      </c>
      <c r="J75" s="18" t="s">
        <v>2086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1"/>
      <c r="B76" s="18"/>
      <c r="C76" s="41"/>
      <c r="D76" s="18"/>
      <c r="E76" s="41"/>
      <c r="F76" s="18"/>
      <c r="G76" s="41" t="s">
        <v>2087</v>
      </c>
      <c r="H76" s="18" t="s">
        <v>2088</v>
      </c>
      <c r="I76" s="41" t="s">
        <v>2089</v>
      </c>
      <c r="J76" s="18" t="s">
        <v>2090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1"/>
      <c r="B77" s="18"/>
      <c r="C77" s="41"/>
      <c r="D77" s="18"/>
      <c r="E77" s="41"/>
      <c r="F77" s="18"/>
      <c r="G77" s="41" t="s">
        <v>2091</v>
      </c>
      <c r="H77" s="18" t="s">
        <v>2092</v>
      </c>
      <c r="I77" s="41" t="s">
        <v>2093</v>
      </c>
      <c r="J77" s="18" t="s">
        <v>2094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">
      <c r="A78" s="41"/>
      <c r="B78" s="18"/>
      <c r="C78" s="41"/>
      <c r="D78" s="18"/>
      <c r="E78" s="41"/>
      <c r="F78" s="18"/>
      <c r="G78" s="41" t="s">
        <v>2095</v>
      </c>
      <c r="H78" s="18" t="s">
        <v>2096</v>
      </c>
      <c r="I78" s="41" t="s">
        <v>2097</v>
      </c>
      <c r="J78" s="18" t="s">
        <v>2098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">
      <c r="A79" s="41"/>
      <c r="B79" s="18"/>
      <c r="C79" s="41"/>
      <c r="D79" s="18"/>
      <c r="E79" s="41"/>
      <c r="F79" s="18"/>
      <c r="G79" s="41" t="s">
        <v>2099</v>
      </c>
      <c r="H79" s="18" t="s">
        <v>2100</v>
      </c>
      <c r="I79" s="41" t="s">
        <v>2101</v>
      </c>
      <c r="J79" s="18" t="s">
        <v>8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">
      <c r="A80" s="41"/>
      <c r="B80" s="18"/>
      <c r="C80" s="41"/>
      <c r="D80" s="18"/>
      <c r="E80" s="41"/>
      <c r="F80" s="18"/>
      <c r="G80" s="41" t="s">
        <v>77</v>
      </c>
      <c r="H80" s="18" t="s">
        <v>2102</v>
      </c>
      <c r="I80" s="41" t="s">
        <v>2103</v>
      </c>
      <c r="J80" s="18" t="s">
        <v>2104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">
      <c r="A81" s="41"/>
      <c r="B81" s="18"/>
      <c r="C81" s="41"/>
      <c r="D81" s="18"/>
      <c r="E81" s="41"/>
      <c r="F81" s="18"/>
      <c r="G81" s="41" t="s">
        <v>2105</v>
      </c>
      <c r="H81" s="18" t="s">
        <v>2106</v>
      </c>
      <c r="I81" s="41" t="s">
        <v>2107</v>
      </c>
      <c r="J81" s="18" t="s">
        <v>2108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">
      <c r="A82" s="41"/>
      <c r="B82" s="18"/>
      <c r="C82" s="41"/>
      <c r="D82" s="18"/>
      <c r="E82" s="41"/>
      <c r="F82" s="18"/>
      <c r="G82" s="41" t="s">
        <v>2109</v>
      </c>
      <c r="H82" s="18" t="s">
        <v>2110</v>
      </c>
      <c r="I82" s="41" t="s">
        <v>2111</v>
      </c>
      <c r="J82" s="18" t="s">
        <v>2112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">
      <c r="A83" s="41"/>
      <c r="B83" s="18"/>
      <c r="C83" s="41"/>
      <c r="D83" s="18"/>
      <c r="E83" s="41"/>
      <c r="F83" s="18"/>
      <c r="G83" s="41" t="s">
        <v>2113</v>
      </c>
      <c r="H83" s="18" t="s">
        <v>2114</v>
      </c>
      <c r="I83" s="41" t="s">
        <v>2115</v>
      </c>
      <c r="J83" s="18" t="s">
        <v>2116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">
      <c r="A84" s="41"/>
      <c r="B84" s="18"/>
      <c r="C84" s="41"/>
      <c r="D84" s="18"/>
      <c r="E84" s="41"/>
      <c r="F84" s="18"/>
      <c r="G84" s="41" t="s">
        <v>2117</v>
      </c>
      <c r="H84" s="18" t="s">
        <v>2118</v>
      </c>
      <c r="I84" s="41" t="s">
        <v>2119</v>
      </c>
      <c r="J84" s="18" t="s">
        <v>2120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">
      <c r="A85" s="41"/>
      <c r="B85" s="18"/>
      <c r="C85" s="41"/>
      <c r="D85" s="18"/>
      <c r="E85" s="41"/>
      <c r="F85" s="18"/>
      <c r="G85" s="41" t="s">
        <v>2121</v>
      </c>
      <c r="H85" s="18" t="s">
        <v>2122</v>
      </c>
      <c r="I85" s="41" t="s">
        <v>2123</v>
      </c>
      <c r="J85" s="18" t="s">
        <v>2124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">
      <c r="A86" s="41"/>
      <c r="B86" s="18"/>
      <c r="C86" s="41"/>
      <c r="D86" s="18"/>
      <c r="E86" s="41"/>
      <c r="F86" s="18"/>
      <c r="G86" s="41" t="s">
        <v>2101</v>
      </c>
      <c r="H86" s="18" t="s">
        <v>2125</v>
      </c>
      <c r="I86" s="41" t="s">
        <v>2126</v>
      </c>
      <c r="J86" s="18" t="s">
        <v>2127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">
      <c r="A87" s="41"/>
      <c r="B87" s="18"/>
      <c r="C87" s="41"/>
      <c r="D87" s="18"/>
      <c r="E87" s="41"/>
      <c r="F87" s="18"/>
      <c r="G87" s="41" t="s">
        <v>2128</v>
      </c>
      <c r="H87" s="18" t="s">
        <v>2129</v>
      </c>
      <c r="I87" s="41" t="s">
        <v>2130</v>
      </c>
      <c r="J87" s="18" t="s">
        <v>2131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">
      <c r="A88" s="41"/>
      <c r="B88" s="18"/>
      <c r="C88" s="41"/>
      <c r="D88" s="18"/>
      <c r="E88" s="41"/>
      <c r="F88" s="18"/>
      <c r="G88" s="41" t="s">
        <v>2132</v>
      </c>
      <c r="H88" s="18" t="s">
        <v>2133</v>
      </c>
      <c r="I88" s="41" t="s">
        <v>2134</v>
      </c>
      <c r="J88" s="18" t="s">
        <v>2135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">
      <c r="A89" s="41"/>
      <c r="B89" s="18"/>
      <c r="C89" s="41"/>
      <c r="D89" s="18"/>
      <c r="E89" s="41"/>
      <c r="F89" s="18"/>
      <c r="G89" s="41" t="s">
        <v>2136</v>
      </c>
      <c r="H89" s="18" t="s">
        <v>2137</v>
      </c>
      <c r="I89" s="41" t="s">
        <v>2138</v>
      </c>
      <c r="J89" s="18" t="s">
        <v>840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">
      <c r="A90" s="41"/>
      <c r="B90" s="18"/>
      <c r="C90" s="41"/>
      <c r="D90" s="18"/>
      <c r="E90" s="41"/>
      <c r="F90" s="18"/>
      <c r="G90" s="41" t="s">
        <v>2139</v>
      </c>
      <c r="H90" s="18" t="s">
        <v>2140</v>
      </c>
      <c r="I90" s="41" t="s">
        <v>2141</v>
      </c>
      <c r="J90" s="18" t="s">
        <v>2142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">
      <c r="A91" s="41"/>
      <c r="B91" s="18"/>
      <c r="C91" s="41"/>
      <c r="D91" s="18"/>
      <c r="E91" s="41"/>
      <c r="F91" s="18"/>
      <c r="G91" s="41" t="s">
        <v>2143</v>
      </c>
      <c r="H91" s="18" t="s">
        <v>2144</v>
      </c>
      <c r="I91" s="41" t="s">
        <v>2145</v>
      </c>
      <c r="J91" s="18" t="s">
        <v>2146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">
      <c r="A92" s="41"/>
      <c r="B92" s="18"/>
      <c r="C92" s="41"/>
      <c r="D92" s="18"/>
      <c r="E92" s="41"/>
      <c r="F92" s="18"/>
      <c r="G92" s="41" t="s">
        <v>2147</v>
      </c>
      <c r="H92" s="18" t="s">
        <v>2148</v>
      </c>
      <c r="I92" s="41" t="s">
        <v>2149</v>
      </c>
      <c r="J92" s="18" t="s">
        <v>2150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">
      <c r="A93" s="41"/>
      <c r="B93" s="18"/>
      <c r="C93" s="41"/>
      <c r="D93" s="18"/>
      <c r="E93" s="41"/>
      <c r="F93" s="18"/>
      <c r="G93" s="41" t="s">
        <v>2151</v>
      </c>
      <c r="H93" s="18" t="s">
        <v>2152</v>
      </c>
      <c r="I93" s="41" t="s">
        <v>2153</v>
      </c>
      <c r="J93" s="18" t="s">
        <v>2154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">
      <c r="A94" s="41"/>
      <c r="B94" s="18"/>
      <c r="C94" s="41"/>
      <c r="D94" s="18"/>
      <c r="E94" s="41"/>
      <c r="F94" s="18"/>
      <c r="G94" s="41" t="s">
        <v>2155</v>
      </c>
      <c r="H94" s="18" t="s">
        <v>2156</v>
      </c>
      <c r="I94" s="41" t="s">
        <v>1880</v>
      </c>
      <c r="J94" s="18" t="s">
        <v>1051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">
      <c r="A95" s="41"/>
      <c r="B95" s="18"/>
      <c r="C95" s="41"/>
      <c r="D95" s="18"/>
      <c r="E95" s="41"/>
      <c r="F95" s="18"/>
      <c r="G95" s="41" t="s">
        <v>2157</v>
      </c>
      <c r="H95" s="18" t="s">
        <v>2158</v>
      </c>
      <c r="I95" s="41" t="s">
        <v>2159</v>
      </c>
      <c r="J95" s="18" t="s">
        <v>2160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">
      <c r="A96" s="41"/>
      <c r="B96" s="18"/>
      <c r="C96" s="41"/>
      <c r="D96" s="18"/>
      <c r="E96" s="41"/>
      <c r="F96" s="18"/>
      <c r="G96" s="41" t="s">
        <v>2161</v>
      </c>
      <c r="H96" s="18" t="s">
        <v>2162</v>
      </c>
      <c r="I96" s="41" t="s">
        <v>2163</v>
      </c>
      <c r="J96" s="18" t="s">
        <v>2164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">
      <c r="A97" s="41"/>
      <c r="B97" s="18"/>
      <c r="C97" s="41"/>
      <c r="D97" s="18"/>
      <c r="E97" s="41"/>
      <c r="F97" s="18"/>
      <c r="G97" s="41" t="s">
        <v>2165</v>
      </c>
      <c r="H97" s="18" t="s">
        <v>2166</v>
      </c>
      <c r="I97" s="41" t="s">
        <v>78</v>
      </c>
      <c r="J97" s="18" t="s">
        <v>2167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">
      <c r="A98" s="41"/>
      <c r="B98" s="18"/>
      <c r="C98" s="41"/>
      <c r="D98" s="18"/>
      <c r="E98" s="41"/>
      <c r="F98" s="18"/>
      <c r="G98" s="41" t="s">
        <v>2168</v>
      </c>
      <c r="H98" s="18" t="s">
        <v>2169</v>
      </c>
      <c r="I98" s="41" t="s">
        <v>2170</v>
      </c>
      <c r="J98" s="18" t="s">
        <v>2171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">
      <c r="A99" s="41"/>
      <c r="B99" s="18"/>
      <c r="C99" s="41"/>
      <c r="D99" s="18"/>
      <c r="E99" s="41"/>
      <c r="F99" s="18"/>
      <c r="G99" s="41" t="s">
        <v>2172</v>
      </c>
      <c r="H99" s="18" t="s">
        <v>2173</v>
      </c>
      <c r="I99" s="41" t="s">
        <v>2174</v>
      </c>
      <c r="J99" s="18" t="s">
        <v>2175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">
      <c r="A100" s="41"/>
      <c r="B100" s="18"/>
      <c r="C100" s="41"/>
      <c r="D100" s="18"/>
      <c r="E100" s="41"/>
      <c r="F100" s="18"/>
      <c r="G100" s="41"/>
      <c r="H100" s="18"/>
      <c r="I100" s="41" t="s">
        <v>2176</v>
      </c>
      <c r="J100" s="18" t="s">
        <v>2177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">
      <c r="A101" s="41"/>
      <c r="B101" s="18"/>
      <c r="C101" s="41"/>
      <c r="D101" s="18"/>
      <c r="E101" s="41"/>
      <c r="F101" s="18"/>
      <c r="G101" s="41"/>
      <c r="H101" s="18"/>
      <c r="I101" s="41" t="s">
        <v>2178</v>
      </c>
      <c r="J101" s="18" t="s">
        <v>2179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64A542E-D01A-4B5D-90E9-2BF189B0A2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2026-09-04T05:07:41Z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