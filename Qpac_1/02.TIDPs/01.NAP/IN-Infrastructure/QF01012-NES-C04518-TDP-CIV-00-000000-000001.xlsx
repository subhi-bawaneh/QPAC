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itnesmapartners.sharepoint.com/sites/QiddiyaPerformingArtsCenter/Shared Documents/02.TIDPs/01.NAP/IN-Infrastructure/"/>
    </mc:Choice>
  </mc:AlternateContent>
  <xr:revisionPtr revIDLastSave="3" documentId="6_{D60F926F-EF21-4910-B214-D81D5E2347F3}" xr6:coauthVersionLast="47" xr6:coauthVersionMax="47" xr10:uidLastSave="{09145356-4E7B-4CB5-8743-2449E77D9B95}"/>
  <bookViews>
    <workbookView xWindow="-120" yWindow="-120" windowWidth="29040" windowHeight="15720" tabRatio="360" xr2:uid="{1E96D8B0-2E29-41F7-9C5F-1075C155E2B7}"/>
  </bookViews>
  <sheets>
    <sheet name="TIDP_Sheet" sheetId="1" r:id="rId1"/>
    <sheet name="Baseline" sheetId="4" state="hidden" r:id="rId2"/>
    <sheet name="Picklists" sheetId="2" r:id="rId3"/>
  </sheets>
  <definedNames>
    <definedName name="ExternalData_1" localSheetId="1" hidden="1">Baseline!$B$2:$N$685</definedName>
    <definedName name="ExternalData_1" localSheetId="2" hidden="1">Picklists!$A$5:$AC$103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77" i="1" l="1"/>
  <c r="AB190" i="1"/>
  <c r="AB189" i="1"/>
  <c r="AB188" i="1"/>
  <c r="AB187" i="1"/>
  <c r="AB186" i="1"/>
  <c r="AB185" i="1"/>
  <c r="AB184" i="1"/>
  <c r="AB183" i="1"/>
  <c r="AB182" i="1"/>
  <c r="AB181" i="1"/>
  <c r="AB180" i="1"/>
  <c r="AB179" i="1"/>
  <c r="AB178" i="1"/>
  <c r="AB193" i="1"/>
  <c r="AB192" i="1"/>
  <c r="AB191" i="1"/>
  <c r="AB176" i="1"/>
  <c r="AB175" i="1"/>
  <c r="AB174" i="1"/>
  <c r="AB173" i="1"/>
  <c r="AB172" i="1"/>
  <c r="AB171" i="1"/>
  <c r="AB170" i="1"/>
  <c r="AB169" i="1"/>
  <c r="AB168" i="1"/>
  <c r="AB167" i="1"/>
  <c r="AB94" i="1"/>
  <c r="AB93" i="1"/>
  <c r="AB92" i="1"/>
  <c r="AB91" i="1"/>
  <c r="AB90" i="1"/>
  <c r="AB89" i="1"/>
  <c r="AB88" i="1"/>
  <c r="AB87" i="1"/>
  <c r="AB86" i="1"/>
  <c r="AB85" i="1"/>
  <c r="AB84" i="1"/>
  <c r="AB83" i="1"/>
  <c r="AB82" i="1"/>
  <c r="AB81" i="1"/>
  <c r="AB80" i="1"/>
  <c r="AB79" i="1"/>
  <c r="AB78" i="1"/>
  <c r="AB77" i="1"/>
  <c r="AB76" i="1"/>
  <c r="AB75" i="1"/>
  <c r="AB74" i="1"/>
  <c r="AB73" i="1"/>
  <c r="AB72" i="1"/>
  <c r="AB71" i="1"/>
  <c r="AB70" i="1"/>
  <c r="V222" i="1"/>
  <c r="V221" i="1"/>
  <c r="V220" i="1"/>
  <c r="V219" i="1"/>
  <c r="V218" i="1"/>
  <c r="V217" i="1"/>
  <c r="V216" i="1"/>
  <c r="V215" i="1"/>
  <c r="V214" i="1"/>
  <c r="V213" i="1"/>
  <c r="V212" i="1"/>
  <c r="V211" i="1"/>
  <c r="V210" i="1"/>
  <c r="V209" i="1"/>
  <c r="V208" i="1"/>
  <c r="V207" i="1"/>
  <c r="V206" i="1"/>
  <c r="V205" i="1"/>
  <c r="V204" i="1"/>
  <c r="V203" i="1"/>
  <c r="V202" i="1"/>
  <c r="V201" i="1"/>
  <c r="V200" i="1"/>
  <c r="V199" i="1"/>
  <c r="V198" i="1"/>
  <c r="V197" i="1"/>
  <c r="V196" i="1"/>
  <c r="V195" i="1"/>
  <c r="V194" i="1"/>
  <c r="V193" i="1"/>
  <c r="V192" i="1"/>
  <c r="V191" i="1"/>
  <c r="V190" i="1"/>
  <c r="V189" i="1"/>
  <c r="V188" i="1"/>
  <c r="V187" i="1"/>
  <c r="V186" i="1"/>
  <c r="V185" i="1"/>
  <c r="V184" i="1"/>
  <c r="V183" i="1"/>
  <c r="V182" i="1"/>
  <c r="V181" i="1"/>
  <c r="V180" i="1"/>
  <c r="V178" i="1"/>
  <c r="V177" i="1"/>
  <c r="V179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176" i="1"/>
  <c r="A175" i="1"/>
  <c r="A174" i="1"/>
  <c r="A173" i="1"/>
  <c r="A172" i="1"/>
  <c r="A171" i="1"/>
  <c r="A170" i="1"/>
  <c r="A169" i="1"/>
  <c r="A168" i="1"/>
  <c r="A167" i="1"/>
  <c r="V166" i="1"/>
  <c r="A166" i="1"/>
  <c r="V165" i="1"/>
  <c r="A165" i="1"/>
  <c r="V164" i="1"/>
  <c r="A164" i="1"/>
  <c r="AB163" i="1"/>
  <c r="V163" i="1"/>
  <c r="A163" i="1"/>
  <c r="AB162" i="1"/>
  <c r="V162" i="1"/>
  <c r="A162" i="1"/>
  <c r="AB161" i="1"/>
  <c r="V161" i="1"/>
  <c r="A161" i="1"/>
  <c r="AB160" i="1"/>
  <c r="V160" i="1"/>
  <c r="A160" i="1"/>
  <c r="AB159" i="1"/>
  <c r="V159" i="1"/>
  <c r="A159" i="1"/>
  <c r="AB158" i="1"/>
  <c r="V158" i="1"/>
  <c r="A158" i="1"/>
  <c r="AB157" i="1"/>
  <c r="V157" i="1"/>
  <c r="A157" i="1"/>
  <c r="AB156" i="1"/>
  <c r="V156" i="1"/>
  <c r="A156" i="1"/>
  <c r="AB155" i="1"/>
  <c r="V155" i="1"/>
  <c r="A155" i="1"/>
  <c r="AB154" i="1"/>
  <c r="V154" i="1"/>
  <c r="A154" i="1"/>
  <c r="AB153" i="1"/>
  <c r="V153" i="1"/>
  <c r="A153" i="1"/>
  <c r="AB152" i="1"/>
  <c r="V152" i="1"/>
  <c r="A152" i="1"/>
  <c r="AB151" i="1"/>
  <c r="V151" i="1"/>
  <c r="A151" i="1"/>
  <c r="AB150" i="1"/>
  <c r="V150" i="1"/>
  <c r="A150" i="1"/>
  <c r="A219" i="1"/>
  <c r="A220" i="1"/>
  <c r="A221" i="1"/>
  <c r="A222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V94" i="1"/>
  <c r="A94" i="1"/>
  <c r="V93" i="1"/>
  <c r="A93" i="1"/>
  <c r="V92" i="1"/>
  <c r="A92" i="1"/>
  <c r="V91" i="1"/>
  <c r="A91" i="1"/>
  <c r="V90" i="1"/>
  <c r="A90" i="1"/>
  <c r="V89" i="1"/>
  <c r="A89" i="1"/>
  <c r="V88" i="1"/>
  <c r="A88" i="1"/>
  <c r="V87" i="1"/>
  <c r="A87" i="1"/>
  <c r="V86" i="1"/>
  <c r="A86" i="1"/>
  <c r="V85" i="1"/>
  <c r="A85" i="1"/>
  <c r="V84" i="1"/>
  <c r="A84" i="1"/>
  <c r="V83" i="1"/>
  <c r="A83" i="1"/>
  <c r="V82" i="1"/>
  <c r="A82" i="1"/>
  <c r="V81" i="1"/>
  <c r="A81" i="1"/>
  <c r="V80" i="1"/>
  <c r="A80" i="1"/>
  <c r="V79" i="1"/>
  <c r="A79" i="1"/>
  <c r="V78" i="1"/>
  <c r="A78" i="1"/>
  <c r="V77" i="1"/>
  <c r="A77" i="1"/>
  <c r="V76" i="1"/>
  <c r="A76" i="1"/>
  <c r="V75" i="1"/>
  <c r="A75" i="1"/>
  <c r="V74" i="1"/>
  <c r="A74" i="1"/>
  <c r="V73" i="1"/>
  <c r="A73" i="1"/>
  <c r="V72" i="1"/>
  <c r="A72" i="1"/>
  <c r="V71" i="1"/>
  <c r="A71" i="1"/>
  <c r="V70" i="1"/>
  <c r="A70" i="1"/>
  <c r="AB125" i="1"/>
  <c r="V125" i="1"/>
  <c r="A125" i="1"/>
  <c r="AB124" i="1"/>
  <c r="V124" i="1"/>
  <c r="A124" i="1"/>
  <c r="AB102" i="1" l="1"/>
  <c r="V102" i="1"/>
  <c r="AB101" i="1"/>
  <c r="V101" i="1"/>
  <c r="AB100" i="1"/>
  <c r="V100" i="1"/>
  <c r="A102" i="1"/>
  <c r="A101" i="1"/>
  <c r="A100" i="1"/>
  <c r="AB99" i="1"/>
  <c r="V99" i="1"/>
  <c r="AB98" i="1"/>
  <c r="V98" i="1"/>
  <c r="AB97" i="1"/>
  <c r="V97" i="1"/>
  <c r="AB96" i="1"/>
  <c r="V96" i="1"/>
  <c r="AB95" i="1"/>
  <c r="V95" i="1"/>
  <c r="A99" i="1"/>
  <c r="A98" i="1"/>
  <c r="A97" i="1"/>
  <c r="A96" i="1"/>
  <c r="A95" i="1"/>
  <c r="AB146" i="1"/>
  <c r="AB145" i="1"/>
  <c r="V146" i="1"/>
  <c r="V145" i="1"/>
  <c r="A146" i="1"/>
  <c r="A145" i="1"/>
  <c r="A32" i="1"/>
  <c r="A33" i="1"/>
  <c r="A34" i="1"/>
  <c r="A35" i="1"/>
  <c r="A36" i="1"/>
  <c r="AB41" i="1"/>
  <c r="V41" i="1"/>
  <c r="AB40" i="1"/>
  <c r="V40" i="1"/>
  <c r="AB39" i="1"/>
  <c r="V39" i="1"/>
  <c r="AB38" i="1"/>
  <c r="V38" i="1"/>
  <c r="A41" i="1"/>
  <c r="A40" i="1"/>
  <c r="A39" i="1"/>
  <c r="A38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V149" i="1"/>
  <c r="V148" i="1"/>
  <c r="V147" i="1"/>
  <c r="V69" i="1"/>
  <c r="V68" i="1"/>
  <c r="V67" i="1"/>
  <c r="V66" i="1"/>
  <c r="V65" i="1"/>
  <c r="V45" i="1"/>
  <c r="V44" i="1"/>
  <c r="V43" i="1"/>
  <c r="V42" i="1"/>
  <c r="V37" i="1"/>
  <c r="V31" i="1"/>
  <c r="V30" i="1"/>
  <c r="V29" i="1"/>
  <c r="V28" i="1"/>
  <c r="V27" i="1"/>
  <c r="V26" i="1"/>
  <c r="V25" i="1"/>
  <c r="V24" i="1"/>
  <c r="V23" i="1"/>
  <c r="V22" i="1"/>
  <c r="V21" i="1"/>
  <c r="V20" i="1"/>
  <c r="V19" i="1"/>
  <c r="V18" i="1"/>
  <c r="V17" i="1"/>
  <c r="V123" i="1"/>
  <c r="V122" i="1"/>
  <c r="V121" i="1"/>
  <c r="V120" i="1"/>
  <c r="V119" i="1"/>
  <c r="V118" i="1"/>
  <c r="V117" i="1"/>
  <c r="V116" i="1"/>
  <c r="V115" i="1"/>
  <c r="V114" i="1"/>
  <c r="V113" i="1"/>
  <c r="V112" i="1"/>
  <c r="V111" i="1"/>
  <c r="V110" i="1"/>
  <c r="V109" i="1"/>
  <c r="V108" i="1"/>
  <c r="V107" i="1"/>
  <c r="V106" i="1"/>
  <c r="V105" i="1"/>
  <c r="V104" i="1"/>
  <c r="V103" i="1"/>
  <c r="V64" i="1"/>
  <c r="V63" i="1"/>
  <c r="V62" i="1"/>
  <c r="V61" i="1"/>
  <c r="V60" i="1"/>
  <c r="V59" i="1"/>
  <c r="V58" i="1"/>
  <c r="V57" i="1"/>
  <c r="V56" i="1"/>
  <c r="V55" i="1"/>
  <c r="V54" i="1"/>
  <c r="V53" i="1"/>
  <c r="V52" i="1"/>
  <c r="V51" i="1"/>
  <c r="V50" i="1"/>
  <c r="V49" i="1"/>
  <c r="V48" i="1"/>
  <c r="V47" i="1"/>
  <c r="V46" i="1"/>
  <c r="A126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7" i="1"/>
  <c r="A42" i="1"/>
  <c r="A43" i="1"/>
  <c r="A44" i="1"/>
  <c r="A45" i="1"/>
  <c r="A65" i="1"/>
  <c r="A66" i="1"/>
  <c r="A67" i="1"/>
  <c r="A68" i="1"/>
  <c r="A69" i="1"/>
  <c r="A147" i="1"/>
  <c r="A148" i="1"/>
  <c r="A149" i="1"/>
  <c r="A177" i="1"/>
  <c r="A178" i="1"/>
  <c r="V126" i="1" l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7" i="1"/>
  <c r="AB42" i="1"/>
  <c r="AB43" i="1"/>
  <c r="AB44" i="1"/>
  <c r="AB45" i="1"/>
  <c r="AB65" i="1"/>
  <c r="AB66" i="1"/>
  <c r="AB67" i="1"/>
  <c r="AB68" i="1"/>
  <c r="AB69" i="1"/>
  <c r="AB147" i="1"/>
  <c r="AB148" i="1"/>
  <c r="AB149" i="1"/>
  <c r="AB46" i="1"/>
  <c r="AB126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6B86CB6-384E-4302-ABA7-91EE70F1E8D2}" keepAlive="1" name="Query - Baseline" description="Connection to the 'Baseline' query in the workbook." type="5" refreshedVersion="8" background="1" saveData="1">
    <dbPr connection="Provider=Microsoft.Mashup.OleDb.1;Data Source=$Workbook$;Location=Baseline;Extended Properties=&quot;&quot;" command="SELECT * FROM [Baseline]"/>
  </connection>
  <connection id="2" xr16:uid="{F8B32131-455E-4735-8D92-8719939ADB6C}" keepAlive="1" name="Query - Picklists" description="Connection to the 'Picklists' query in the workbook." type="5" refreshedVersion="8" background="1" saveData="1">
    <dbPr connection="Provider=Microsoft.Mashup.OleDb.1;Data Source=$Workbook$;Location=Picklists;Extended Properties=&quot;&quot;" command="SELECT * FROM [Picklists]"/>
  </connection>
</connection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<sst xmlns="http://schemas.openxmlformats.org/spreadsheetml/2006/main" count="12454" uniqueCount="2765">
  <si>
    <t>TASK INFORMATION DELIVERY PLAN (TIDP)</t>
  </si>
  <si>
    <t>CLIENT</t>
  </si>
  <si>
    <t>Qiddiya</t>
  </si>
  <si>
    <t>PROJECT</t>
  </si>
  <si>
    <t>Qiddiya Performing Arts Center (QPAC)</t>
  </si>
  <si>
    <t>ORGANISATION</t>
  </si>
  <si>
    <t>Nesma &amp; Partners</t>
  </si>
  <si>
    <t>DISCIPLINE</t>
  </si>
  <si>
    <t>Infrastructure</t>
  </si>
  <si>
    <t>APPROVER</t>
  </si>
  <si>
    <t>BSBG</t>
  </si>
  <si>
    <t>DATE CREATED</t>
  </si>
  <si>
    <t>DATE LAST UPDATED</t>
  </si>
  <si>
    <t>REVISION NUMBER</t>
  </si>
  <si>
    <t>00</t>
  </si>
  <si>
    <t>DOCUMENT REFERENCE</t>
  </si>
  <si>
    <t>QF01012-NES-C04518-TDP-CIV-00-000000-000001</t>
  </si>
  <si>
    <t>This document shall be populated and kept up-to-date by the task team</t>
  </si>
  <si>
    <t>REFER TO THE FILE NAMING CONVENTION IN THE BIM EXECUTION PLAN</t>
  </si>
  <si>
    <t>DATA EXCHANGE #01</t>
  </si>
  <si>
    <t>DATA EXCHANGE #02</t>
  </si>
  <si>
    <t>DOC REFERENCE GENERATOR</t>
  </si>
  <si>
    <t>STAGE:</t>
  </si>
  <si>
    <t>CONSTRUCTION</t>
  </si>
  <si>
    <t>HAND OVER</t>
  </si>
  <si>
    <t>PROGRAMME REF:</t>
  </si>
  <si>
    <t>EXCHANGE FORMATS</t>
  </si>
  <si>
    <t>FIELD 01</t>
  </si>
  <si>
    <t>FIELD 02</t>
  </si>
  <si>
    <t>FIELD 03</t>
  </si>
  <si>
    <t>FIELD 04</t>
  </si>
  <si>
    <t>FIELD 05</t>
  </si>
  <si>
    <t>FIELD 06</t>
  </si>
  <si>
    <t>FIELD 07</t>
  </si>
  <si>
    <t>FIELD 08</t>
  </si>
  <si>
    <t>LEVEL OF INFORMATION NEED</t>
  </si>
  <si>
    <t>DOCUMENT NUMBER</t>
  </si>
  <si>
    <t>DOCUMENT TITLE</t>
  </si>
  <si>
    <t>EXTRACTED FROM MODEL</t>
  </si>
  <si>
    <t>SCOPE AREA</t>
  </si>
  <si>
    <t>AUTHORING SOFTWARE</t>
  </si>
  <si>
    <t>EXCHANGE FORMAT</t>
  </si>
  <si>
    <t>SCALE</t>
  </si>
  <si>
    <t>DELIVERY MILESTONE</t>
  </si>
  <si>
    <t>PACKAGE NAME</t>
  </si>
  <si>
    <t>ACTIVITY ID</t>
  </si>
  <si>
    <t>CLASSIFICATION CODE</t>
  </si>
  <si>
    <t>ORIGINATOR</t>
  </si>
  <si>
    <t>CONTRACT</t>
  </si>
  <si>
    <t>DOCUMENT TYPE</t>
  </si>
  <si>
    <t>AREA/ZONE</t>
  </si>
  <si>
    <t>VENUE/BUILDING</t>
  </si>
  <si>
    <t>DRAWING TYPE</t>
  </si>
  <si>
    <t>LEVEL</t>
  </si>
  <si>
    <t>SEQUENCE NUMBER</t>
  </si>
  <si>
    <t>CORPORATE DISCIPLINE</t>
  </si>
  <si>
    <t>01-AUTHOR</t>
  </si>
  <si>
    <t>01-GEOMETRICAL</t>
  </si>
  <si>
    <t>01-NON GEOMETRICAL</t>
  </si>
  <si>
    <t>01-DURATION 
(DAYS)</t>
  </si>
  <si>
    <t>01-PREDECESSOR</t>
  </si>
  <si>
    <t>01-EXCHANGE DATE</t>
  </si>
  <si>
    <t>02-AUTHOR</t>
  </si>
  <si>
    <t>02-GEOMETRICAL</t>
  </si>
  <si>
    <t>02-NON GEOMETRICAL</t>
  </si>
  <si>
    <t>02-DURATION 
(DAYS)</t>
  </si>
  <si>
    <t>02-PREDECESSOR</t>
  </si>
  <si>
    <t>02-EXCHANGE DATE</t>
  </si>
  <si>
    <t xml:space="preserve">BLADE 01 EXCAVATION PLAN </t>
  </si>
  <si>
    <t>QF01012-BSB-MOD-2DM-STR-00-Z00-00100</t>
  </si>
  <si>
    <t xml:space="preserve">Civil Engineering </t>
  </si>
  <si>
    <t>Civil3D</t>
  </si>
  <si>
    <t>.dwg,.pdf</t>
  </si>
  <si>
    <t>1:100</t>
  </si>
  <si>
    <t>Excavation - Blades</t>
  </si>
  <si>
    <t>QP.E.CV.BL1.GEN.1060</t>
  </si>
  <si>
    <t>QF01012</t>
  </si>
  <si>
    <t>NES</t>
  </si>
  <si>
    <t>C04518</t>
  </si>
  <si>
    <t>SDW</t>
  </si>
  <si>
    <t>CIV</t>
  </si>
  <si>
    <t>01</t>
  </si>
  <si>
    <t>BLAD01</t>
  </si>
  <si>
    <t>2</t>
  </si>
  <si>
    <t>FL</t>
  </si>
  <si>
    <t>0101</t>
  </si>
  <si>
    <t>LOD400</t>
  </si>
  <si>
    <t>BLADE 01 EXCAVATION SECTION-01 AND DETAILS SHEET 01 OF 04</t>
  </si>
  <si>
    <t>3</t>
  </si>
  <si>
    <t>0501</t>
  </si>
  <si>
    <t>BLADE 01 EXCAVATION SECTION-01 AND DETAILS SHEET 02 OF 04</t>
  </si>
  <si>
    <t>02</t>
  </si>
  <si>
    <t>0502</t>
  </si>
  <si>
    <t>BLADE 01 EXCAVATION SECTION-01 AND DETAILS SHEET 03 OF 04</t>
  </si>
  <si>
    <t>03</t>
  </si>
  <si>
    <t>0503</t>
  </si>
  <si>
    <t>BLADE 01 EXCAVATION SECTION-01 AND DETAILS SHEET 04 OF 04</t>
  </si>
  <si>
    <t>04</t>
  </si>
  <si>
    <t>0504</t>
  </si>
  <si>
    <t xml:space="preserve">BLADE 02 EXCAVATION PLAN </t>
  </si>
  <si>
    <t>BLAD02</t>
  </si>
  <si>
    <t>BLADE 02 EXCAVATION SECTION-01 AND DETAILS SHEET 01 OF 03</t>
  </si>
  <si>
    <t>BLADE 02 EXCAVATION SECTION-01 AND DETAILS SHEET 02 OF 03</t>
  </si>
  <si>
    <t>BLADE 02 EXCAVATION SECTION-01 AND DETAILS SHEET 03 OF 03</t>
  </si>
  <si>
    <t xml:space="preserve">BLADE 03 EXCAVATION PLAN </t>
  </si>
  <si>
    <t>QP.E.CV.BL3.GEN.1060</t>
  </si>
  <si>
    <t>BLAD03</t>
  </si>
  <si>
    <t>BLADE 03 EXCAVATION SECTION-01 AND DETAILS SHEET 01 OF 03</t>
  </si>
  <si>
    <t>BLADE 03 EXCAVATION SECTION-01 AND DETAILS SHEET 02 OF 03</t>
  </si>
  <si>
    <t>BLADE 03 EXCAVATION SECTION-01 AND DETAILS SHEET 03 OF 03</t>
  </si>
  <si>
    <t xml:space="preserve">BLADE 04 EXCAVATION PLAN </t>
  </si>
  <si>
    <t>QP.E.CV.BL4.GEN.1060</t>
  </si>
  <si>
    <t>BLAD04</t>
  </si>
  <si>
    <t>BLADE 04 EXCAVATION SECTION-01 AND DETAILS SHEET 01 OF 03</t>
  </si>
  <si>
    <t>CONNECTION BETWEEN POST-APPLIED AND PRE-APPLIED MEMBRANE (SECTION) CONNECTION AT CONSTRUCTION JOINT</t>
  </si>
  <si>
    <t>Z00000</t>
  </si>
  <si>
    <t>5</t>
  </si>
  <si>
    <t>ZZ</t>
  </si>
  <si>
    <t>1908</t>
  </si>
  <si>
    <t>CONNECTION BETWEEN POST-APPLIED AND PRE-APPLIED MEMBRANE (SECTION)</t>
  </si>
  <si>
    <t>1909</t>
  </si>
  <si>
    <t>1910</t>
  </si>
  <si>
    <t>CONNECTION AT CONSTRUCTION JOINT FOR CORE WALL 2</t>
  </si>
  <si>
    <t>1911</t>
  </si>
  <si>
    <t>Blade 4 Excavation Section C</t>
  </si>
  <si>
    <t>BLADE 04 EXCAVATION SECTION-01 AND DETAILS SHEET 02 OF 03</t>
  </si>
  <si>
    <t>BLADE 04 EXCAVATION PLAN TEMPORARY WORK</t>
  </si>
  <si>
    <t>7</t>
  </si>
  <si>
    <t>BLADE 04 EXCAVATION TEMPORARY WORK SECTION-01 AND DETAILS SHEET 01 OF 03</t>
  </si>
  <si>
    <t>BLADE 04 EXCAVATION TEMPORARY WORK SECTION-01 AND DETAILS SHEET 02 OF 03</t>
  </si>
  <si>
    <t>BLADE 04 EXCAVATION TEMPORARY WORK SECTION-01 AND DETAILS SHEET 03 OF 03</t>
  </si>
  <si>
    <t xml:space="preserve">BLADE 05 EXCAVATION PLAN </t>
  </si>
  <si>
    <t>QP.E.CV.BL5.GEN.1060</t>
  </si>
  <si>
    <t>BLAD05</t>
  </si>
  <si>
    <t>BLADE 05 EXCAVATION SECTION-01 AND DETAILS SHEET 01 OF 03</t>
  </si>
  <si>
    <t>BLADE 05 EXCAVATION SECTION-01 AND DETAILS SHEET 02 OF 03</t>
  </si>
  <si>
    <t>BLADE 05 EXCAVATION SECTION-01 AND DETAILS SHEET 03 OF 03</t>
  </si>
  <si>
    <t>CENTRAL BLOCK OVERALL EXCAVATION KEY PLAN</t>
  </si>
  <si>
    <t>1:300</t>
  </si>
  <si>
    <t>Excavation - Central Block</t>
  </si>
  <si>
    <t>QP.E.CV.MBL.GEN.3460</t>
  </si>
  <si>
    <t>CENT01</t>
  </si>
  <si>
    <t>0100</t>
  </si>
  <si>
    <t>CENTRAL BLOCK EXCAVATION PLAN SHEET 01 OF 06</t>
  </si>
  <si>
    <t>AS INDICATED</t>
  </si>
  <si>
    <t>CENTRAL BLOCK EXCAVATION PLAN SHEET 02 OF 06</t>
  </si>
  <si>
    <t>0102</t>
  </si>
  <si>
    <t>CENTRAL BLOCK EXCAVATION PLAN SHEET 03 OF 06</t>
  </si>
  <si>
    <t>0103</t>
  </si>
  <si>
    <t>CENTRAL BLOCK EXCAVATION PLAN SHEET 04 OF 06</t>
  </si>
  <si>
    <t>0104</t>
  </si>
  <si>
    <t>CENTRAL BLOCK EXCAVATION PLAN SHEET 05 OF 06</t>
  </si>
  <si>
    <t>05</t>
  </si>
  <si>
    <t>0105</t>
  </si>
  <si>
    <t>CENTRAL BLOCK EXCAVATION PLAN SHEET 06 OF 06</t>
  </si>
  <si>
    <t>06</t>
  </si>
  <si>
    <t>0106</t>
  </si>
  <si>
    <t>CENTRAL BLOCK EXCAVATION SECTION-01 AND DETAILS SHEET 01 OF 12</t>
  </si>
  <si>
    <t>QP.E.CV.MBL.GEN.3540</t>
  </si>
  <si>
    <t>CENTRAL BLOCK EXCAVATION SECTION-01 AND DETAILS SHEET 02 OF 12</t>
  </si>
  <si>
    <t>CENTRAL BLOCK EXCAVATION SECTION-02 AND DETAILS SHEET 03 OF 12</t>
  </si>
  <si>
    <t>CENTRAL BLOCK EXCAVATION SECTION-03 AND DETAILS SHEET 04 OF 12</t>
  </si>
  <si>
    <t>CENTRAL BLOCK EXCAVATION SECTION-04 AND DETAILS SHEET 05 OF 12</t>
  </si>
  <si>
    <t>0505</t>
  </si>
  <si>
    <t>CENTRAL BLOCK EXCAVATION SECTION-05 AND DETAILS SHEET 06 OF 12</t>
  </si>
  <si>
    <t>0506</t>
  </si>
  <si>
    <t>CENTRAL BLOCK EXCAVATION SECTION-06 AND DETAILS SHEET 07 OF 12</t>
  </si>
  <si>
    <t>07</t>
  </si>
  <si>
    <t>0507</t>
  </si>
  <si>
    <t>CENTRAL BLOCK EXCAVATION SECTION-07 AND DETAILS SHEET 08 OF 12</t>
  </si>
  <si>
    <t>08</t>
  </si>
  <si>
    <t>0508</t>
  </si>
  <si>
    <t>CENTRAL BLOCK EXCAVATION SECTION-07 AND DETAILS SHEET 09 OF 12</t>
  </si>
  <si>
    <t>09</t>
  </si>
  <si>
    <t>0509</t>
  </si>
  <si>
    <t>CENTRAL BLOCK EXCAVATION SECTION-08 AND DETAILS SHEET 10 OF 12</t>
  </si>
  <si>
    <t>10</t>
  </si>
  <si>
    <t>0510</t>
  </si>
  <si>
    <t>CENTRAL BLOCK EXCAVATION SECTION-09 AND DETAILS SHEET 11 OF 12</t>
  </si>
  <si>
    <t>11</t>
  </si>
  <si>
    <t>0511</t>
  </si>
  <si>
    <t>CENTRAL BLOCK EXCAVATION SECTION-10 AND DETAILS SHEET 12 OF 12</t>
  </si>
  <si>
    <t>12</t>
  </si>
  <si>
    <t>0512</t>
  </si>
  <si>
    <t>EXTERNAL STRUCTURE EXCAVATION OVERALL ENTRY/EXIT TUNNEL KEY PLAN</t>
  </si>
  <si>
    <t>1:500</t>
  </si>
  <si>
    <t xml:space="preserve">Excavation - External </t>
  </si>
  <si>
    <t>QP.E.CV.MBL.GEN.3320</t>
  </si>
  <si>
    <t>EXTERNAL STRUCTURES EXCAVATION ENTRY/EXIT TUNNEL PLAN SHEET 01 OF 04</t>
  </si>
  <si>
    <t>1:150</t>
  </si>
  <si>
    <t>EXTERNAL STRUCTURES EXCAVATION ENTRY/EXIT TUNNEL PLAN SHEET 02 OF 04</t>
  </si>
  <si>
    <t>EXTERNAL STRUCTURES EXCAVATION ENTRY/EXIT TUNNEL PLAN SHEET 03 OF 04</t>
  </si>
  <si>
    <t>EXTERNAL STRUCTURES EXCAVATION ENTRY/EXIT TUNNEL PLAN SHEET 04 OF 04</t>
  </si>
  <si>
    <t>EXTERNAL STRUCTURES EXCAVATION OVERALL PROMENADE BRIDGE KEY PLAN</t>
  </si>
  <si>
    <t>EXTERNAL STRUCTURES EXCAVATION PROMENADE BRIDGE PLAN SHEET 01 OF 02</t>
  </si>
  <si>
    <t>EXTERNAL STRUCTURES EXCAVATION PROMENADE BRIDGE PLAN SHEET 02 OF 02</t>
  </si>
  <si>
    <t>EXTERNAL STRUCTURES EXCAVATION OVERALL LANDSCAPE RETAINING WALL KEY PLAN</t>
  </si>
  <si>
    <t>EXTERNAL STRUCTURES EXCAVATION LANDSCAPE RETAINING WALL PLAN SHEET 01 OF 07</t>
  </si>
  <si>
    <t>0107</t>
  </si>
  <si>
    <t>EXTERNAL STRUCTURES EXCAVATION LANDSCAPE RETAINING WALL PLAN SHEET 02 OF 07</t>
  </si>
  <si>
    <t>0108</t>
  </si>
  <si>
    <t>EXTERNAL STRUCTURES EXCAVATION LANDSCAPE RETAINING WALL PLAN SHEET 03 OF 07</t>
  </si>
  <si>
    <t>0109</t>
  </si>
  <si>
    <t>EXTERNAL STRUCTURES EXCAVATION LANDSCAPE RETAINING WALL PLAN SHEET 04 OF 07</t>
  </si>
  <si>
    <t>0110</t>
  </si>
  <si>
    <t>EXTERNAL STRUCTURES EXCAVATION LANDSCAPE RETAINING WALL PLAN SHEET 05 OF 07</t>
  </si>
  <si>
    <t>0111</t>
  </si>
  <si>
    <t>EXTERNAL STRUCTURES EXCAVATION LANDSCAPE RETAINING WALL PLAN SHEET 06 OF 07</t>
  </si>
  <si>
    <t>0112</t>
  </si>
  <si>
    <t>EXTERNAL STRUCTURES EXCAVATION LANDSCAPE RETAINING WALL PLAN SHEET 07 OF 07</t>
  </si>
  <si>
    <t>13</t>
  </si>
  <si>
    <t>0113</t>
  </si>
  <si>
    <t>EXTERNAL STRUCTURES EXCAVATION OVERALL LANDSCAPE NATURE PATH KEY PLAN</t>
  </si>
  <si>
    <t xml:space="preserve">EXTERNAL STRUCTURES EXCAVATION LANDSCAPE NATURE PATH PLAN SHEET 01 OF 06 </t>
  </si>
  <si>
    <t>14</t>
  </si>
  <si>
    <t>0114</t>
  </si>
  <si>
    <t xml:space="preserve">EXTERNAL STRUCTURES EXCAVATION LANDSCAPE NATURE PATH PLAN SHEET 02 OF 06 </t>
  </si>
  <si>
    <t>15</t>
  </si>
  <si>
    <t>0115</t>
  </si>
  <si>
    <t xml:space="preserve">EXTERNAL STRUCTURES EXCAVATION LANDSCAPE NATURE PATH PLAN SHEET 03 OF 06 </t>
  </si>
  <si>
    <t>16</t>
  </si>
  <si>
    <t>0116</t>
  </si>
  <si>
    <t xml:space="preserve">EXTERNAL STRUCTURES EXCAVATION LANDSCAPE NATURE PATH PLAN SHEET 04 OF 06 </t>
  </si>
  <si>
    <t>17</t>
  </si>
  <si>
    <t>0117</t>
  </si>
  <si>
    <t xml:space="preserve">EXTERNAL STRUCTURES EXCAVATION LANDSCAPE NATURE PATH PLAN SHEET 05 OF 06 </t>
  </si>
  <si>
    <t>18</t>
  </si>
  <si>
    <t>0118</t>
  </si>
  <si>
    <t xml:space="preserve">EXTERNAL STRUCTURES EXCAVATION LANDSCAPE NATURE PATH PLAN SHEET 06 OF 06 </t>
  </si>
  <si>
    <t>19</t>
  </si>
  <si>
    <t>0119</t>
  </si>
  <si>
    <t>EXTERNAL STRUCTURES EXCAVATION SECTION-01 AND DETAILS SHEET 01 OF 07</t>
  </si>
  <si>
    <t>EXTERNAL STRUCTURES EXCAVATION SECTION-01 AND DETAILS SHEET 02 OF 07</t>
  </si>
  <si>
    <t>EXTERNAL STRUCTURES EXCAVATION SECTION-01 AND DETAILS SHEET 03 OF 07</t>
  </si>
  <si>
    <t>EXTERNAL STRUCTURES EXCAVATION SECTION-01 AND DETAILS SHEET 04 OF 07</t>
  </si>
  <si>
    <t>EXTERNAL STRUCTURES EXCAVATION SECTION-01 AND DETAILS SHEET 05 OF 07</t>
  </si>
  <si>
    <t>EXTERNAL STRUCTURES EXCAVATION SECTION-01 AND DETAILS SHEET 06 OF 07</t>
  </si>
  <si>
    <t>EXTERNAL STRUCTURES EXCAVATION SECTION-01 AND DETAILS SHEET 07 OF 07</t>
  </si>
  <si>
    <t>BLADE 03 EXCAVATION PLAN TEMPORARY WORK</t>
  </si>
  <si>
    <t>QP.E.EX.GEN.GEN.1200</t>
  </si>
  <si>
    <t>7409</t>
  </si>
  <si>
    <t>BLADE 03 EXCAVATION TEMPORARY WORK SECTION-01 AND DETAILS SHEET 01 OF 04</t>
  </si>
  <si>
    <t>7410</t>
  </si>
  <si>
    <t>BLADE 03 EXCAVATION TEMPORARY WORK SECTION-01 AND DETAILS SHEET 02 OF 04</t>
  </si>
  <si>
    <t>7411</t>
  </si>
  <si>
    <t>BLADE 03 EXCAVATION TEMPORARY WORK SECTION-01 AND DETAILS SHEET 03 OF 04</t>
  </si>
  <si>
    <t>7412</t>
  </si>
  <si>
    <t>BLADE 03 EXCAVATION TEMPORARY WORK SECTION-01 AND DETAILS SHEET 04 OF 04</t>
  </si>
  <si>
    <t>7413</t>
  </si>
  <si>
    <t>BLADE 01 EXCAVATION PLAN TEMPORARY WORK</t>
  </si>
  <si>
    <t>7420</t>
  </si>
  <si>
    <t>BLADE 01 EXCAVATION TEMPORARY WORK SECTION-01 AND DETAILS SHEET 01 OF 02</t>
  </si>
  <si>
    <t>7421</t>
  </si>
  <si>
    <t>BLADE 01 EXCAVATION TEMPORARY WORK SECTION-01 AND DETAILS SHEET 02 OF 02</t>
  </si>
  <si>
    <t>7422</t>
  </si>
  <si>
    <t>PARKING OVERALL EXCAVATION KEY PLAN</t>
  </si>
  <si>
    <t>Excavation - Parking</t>
  </si>
  <si>
    <t>QP.E.CV.PAR.GEN.1000</t>
  </si>
  <si>
    <t>PARK01</t>
  </si>
  <si>
    <t>PARKING EXCAVATION PLAN SHEET 01 OF 08</t>
  </si>
  <si>
    <t>PARKING EXCAVATION PLAN SHEET 02 OF 08</t>
  </si>
  <si>
    <t>PARKING EXCAVATION PLAN SHEET 03 OF 08</t>
  </si>
  <si>
    <t>PARKING EXCAVATION PLAN SHEET 04 OF 08</t>
  </si>
  <si>
    <t>PARKING EXCAVATION PLAN SHEET 05 OF 08</t>
  </si>
  <si>
    <t>PARKING EXCAVATION PLAN SHEET 06 OF 08</t>
  </si>
  <si>
    <t>PARKING EXCAVATION PLAN SHEET 07 OF 08</t>
  </si>
  <si>
    <t>PARKING EXCAVATION PLAN SHEET 08 OF 08</t>
  </si>
  <si>
    <t>PARKING EXCAVATION SECTION-01 AND DETAILS SHEET 01 OF 14</t>
  </si>
  <si>
    <t>PARKING EXCAVATION SECTION-01 AND DETAILS SHEET 02 OF 14</t>
  </si>
  <si>
    <t>PARKING EXCAVATION SECTION-02 AND DETAILS SHEET 03 OF 14</t>
  </si>
  <si>
    <t>PARKING EXCAVATION SECTION-02 AND DETAILS SHEET 04 OF 14</t>
  </si>
  <si>
    <t>PARKING EXCAVATION SECTION-03 AND DETAILS SHEET 05 OF 14</t>
  </si>
  <si>
    <t>PARKING EXCAVATION SECTION-03 AND DETAILS SHEET 06 OF 14</t>
  </si>
  <si>
    <t>PARKING EXCAVATION SECTION-04 AND DETAILS SHEET 07 OF 14</t>
  </si>
  <si>
    <t>PARKING EXCAVATION SECTION-04 AND DETAILS SHEET 08 OF 14</t>
  </si>
  <si>
    <t>PARKING EXCAVATION SECTION-05 AND DETAILS SHEET 09 OF 14</t>
  </si>
  <si>
    <t>PARKING EXCAVATION SECTION-05 AND DETAILS SHEET 10 OF 14</t>
  </si>
  <si>
    <t>PARKING EXCAVATION SECTION-06 AND DETAILS SHEET 11 OF 14</t>
  </si>
  <si>
    <t>PARKING EXCAVATION SECTION-07 AND DETAILS SHEET 12 OF 14</t>
  </si>
  <si>
    <t>PARKING EXCAVATION SECTION-06 AND DETAILS SHEET 13 OF 14</t>
  </si>
  <si>
    <t>0513</t>
  </si>
  <si>
    <t>PARKING EXCAVATION SECTION-07 AND DETAILS SHEET 14 OF 14</t>
  </si>
  <si>
    <t>0514</t>
  </si>
  <si>
    <t>EXCAVATION &amp; GRADING MODEL</t>
  </si>
  <si>
    <t>.dwg,.nwc,.ifc</t>
  </si>
  <si>
    <t>NTS</t>
  </si>
  <si>
    <t>Grading</t>
  </si>
  <si>
    <t>MOD</t>
  </si>
  <si>
    <t>0</t>
  </si>
  <si>
    <t>0001</t>
  </si>
  <si>
    <t>SITE TOPOGRAPHY SHEET 01 OF 01</t>
  </si>
  <si>
    <t>0000</t>
  </si>
  <si>
    <t>GRADING PLAN - LOBBY LEVEL AND PROMENADE LEVEL OVERALL KEYPLAN</t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</si>
  <si>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</si>
  <si>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</si>
  <si>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</si>
  <si>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</si>
  <si>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</si>
  <si>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</si>
  <si>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</si>
  <si>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</si>
  <si>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</si>
  <si>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</si>
  <si>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</si>
  <si>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</si>
  <si>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</si>
  <si>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</si>
  <si>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</si>
  <si>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0017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</si>
  <si>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</si>
  <si>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</si>
  <si>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</si>
  <si>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</si>
  <si>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</si>
  <si>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</si>
  <si>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</si>
  <si>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</si>
  <si>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</si>
  <si>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TOWER CRANE 4x4M ACCESS SCAFFOLD DESIGN CALCULATION</t>
  </si>
  <si>
    <t>CAL</t>
  </si>
  <si>
    <t>002</t>
  </si>
  <si>
    <t>TOWER CRANE ACCESS SCAFFOLD DESIGN CALCULATION</t>
  </si>
  <si>
    <t>001</t>
  </si>
  <si>
    <t>Roads</t>
  </si>
  <si>
    <t>0515</t>
  </si>
  <si>
    <t>0517</t>
  </si>
  <si>
    <t>0522</t>
  </si>
  <si>
    <t>0523</t>
  </si>
  <si>
    <t>0524</t>
  </si>
  <si>
    <t>0527</t>
  </si>
  <si>
    <t>0528</t>
  </si>
  <si>
    <t>0529</t>
  </si>
  <si>
    <t>TOWER CRANE 2 ACCESS SCAFFOLD DESIGN CALCULATION 5.5X5.5</t>
  </si>
  <si>
    <t>Temporary</t>
  </si>
  <si>
    <t>003</t>
  </si>
  <si>
    <t>TOWER CRANE 2 4X4M ACCESS SCAFFOLD DESIGN CALCULATION</t>
  </si>
  <si>
    <t>004</t>
  </si>
  <si>
    <t>Blade 4 Temporary Tower Foundation and Excavation Assessment - Langan Report</t>
  </si>
  <si>
    <t>REP</t>
  </si>
  <si>
    <t>7414</t>
  </si>
  <si>
    <t>BLADE 04 EXCAVATION TEMPORARY WORK SECTION 01 AND DETAILS SHEET 01 OF 05</t>
  </si>
  <si>
    <t>7415</t>
  </si>
  <si>
    <t>BLADE 04 EXCAVATION TEMPORARY WORK SECTION 01 AND DETAILS SHEET 02 OF 05</t>
  </si>
  <si>
    <t>7416</t>
  </si>
  <si>
    <t>BLADE 04 EXCAVATION TEMPORARY WORK SECTION 01 AND DETAILS SHEET 03 OF 05</t>
  </si>
  <si>
    <t>7417</t>
  </si>
  <si>
    <t>BLADE 04 EXCAVATION TEMPORARY WORK SECTION 01 AND DETAILS SHEET 04 OF 05</t>
  </si>
  <si>
    <t>7418</t>
  </si>
  <si>
    <t>BLADE 04 EXCAVATION TEMPORARY WORK SECTION 01 AND DETAILS SHEET 05 OF 05</t>
  </si>
  <si>
    <t>7419</t>
  </si>
  <si>
    <t>BLADE 02 EXCAVATION PLAN TEMPORARY WORK</t>
  </si>
  <si>
    <t>7423</t>
  </si>
  <si>
    <t>BLADE 02 EXCAVATION TEMPORARY WORK SECTION-01 AND DETAILS SHEET 01 OF 02</t>
  </si>
  <si>
    <t>7424</t>
  </si>
  <si>
    <t>BLADE 02 EXCAVATION TEMPORARY WORK SECTION-01 AND DETAILS SHEET 02 OF 02</t>
  </si>
  <si>
    <t>7425</t>
  </si>
  <si>
    <t>CRAWLER CRANE PLATFORM - BLADE 4</t>
  </si>
  <si>
    <t>7426</t>
  </si>
  <si>
    <t xml:space="preserve">PAVEMENT PLAN - LOBBY AND PROMENADE LEVEL </t>
  </si>
  <si>
    <t> </t>
  </si>
  <si>
    <t>PAVEMENT DETAILS - LOBBY AND PROMENADE LEVEL</t>
  </si>
  <si>
    <t>0516</t>
  </si>
  <si>
    <t>ROAD SIGNS AMD MARKING PLAN LOBBY LEVEL</t>
  </si>
  <si>
    <t>0521</t>
  </si>
  <si>
    <t>ROAD SIGNS DETAILS SHEET 1</t>
  </si>
  <si>
    <t>ROAD SIGNS DETAILS SHEET 2</t>
  </si>
  <si>
    <t>ROAD MARKING DETAILS</t>
  </si>
  <si>
    <t>VEHICLE TRACKING PLAN - PASSENGER CAR</t>
  </si>
  <si>
    <t>VEHICLE TRACKING PLAN - SINGLE UNIT TRUCK</t>
  </si>
  <si>
    <t>VEHICLE TRACKING PLAN - INTERMEDIATE SEMI-TRAILER</t>
  </si>
  <si>
    <t>VEHICLE TRACKING PLAN - INTER CITY BUS</t>
  </si>
  <si>
    <t>0530</t>
  </si>
  <si>
    <t>1</t>
  </si>
  <si>
    <t>4</t>
  </si>
  <si>
    <t>6</t>
  </si>
  <si>
    <t>Package</t>
  </si>
  <si>
    <t>Activity Code</t>
  </si>
  <si>
    <t>Activity</t>
  </si>
  <si>
    <t>Original Duration</t>
  </si>
  <si>
    <t>Start</t>
  </si>
  <si>
    <t>Finish</t>
  </si>
  <si>
    <t>Shop Drawings</t>
  </si>
  <si>
    <t>Mobilization</t>
  </si>
  <si>
    <t>Shop Drawings | Mobilization</t>
  </si>
  <si>
    <t>QP.M.GN.GEN.GEN.1400</t>
  </si>
  <si>
    <t>Submittal</t>
  </si>
  <si>
    <t>Tower Crane Foundation - Concrete Works</t>
  </si>
  <si>
    <t>Shop Drawings | Mobilization | Tower Crane Foundation - Concrete Works</t>
  </si>
  <si>
    <t>QP.M.GN.GEN.GEN.1470</t>
  </si>
  <si>
    <t>Temporary Tower For Steel Works Foundation</t>
  </si>
  <si>
    <t>Temporary Tower For Steel Works Foundation - Blades Below Loft</t>
  </si>
  <si>
    <t>Shop Drawings | Mobilization | Temporary Tower For Steel Works Foundation | Temporary Tower For Steel Works Foundation - Blades Below Loft</t>
  </si>
  <si>
    <t>QP.M.GN.GEN.GEN.1540</t>
  </si>
  <si>
    <t>Temporary Tower For Steel Works Foundation - Loft</t>
  </si>
  <si>
    <t>Shop Drawings | Mobilization | Temporary Tower For Steel Works Foundation | Temporary Tower For Steel Works Foundation - Loft</t>
  </si>
  <si>
    <t>QP.M.GN.GEN.GEN.1560</t>
  </si>
  <si>
    <t>Temporary Tower For Steel Works Foundation - Above Loft</t>
  </si>
  <si>
    <t>Shop Drawings | Mobilization | Temporary Tower For Steel Works Foundation | Temporary Tower For Steel Works Foundation - Above Loft</t>
  </si>
  <si>
    <t>QP.M.GN.GEN.GEN.1580</t>
  </si>
  <si>
    <t>Civil</t>
  </si>
  <si>
    <t>Main Building</t>
  </si>
  <si>
    <t>Basement 03 &amp; 02 Excavation and Blinding Works</t>
  </si>
  <si>
    <t>Shop Drawings | Civil | Main Building | Basement 03 &amp; 02 Excavation and Blinding Works</t>
  </si>
  <si>
    <t>Basement 03 &amp; 02 Excavation and Blinding Works Outside Core Area</t>
  </si>
  <si>
    <t>Shop Drawings | Civil | Main Building | Basement 03 &amp; 02 Excavation and Blinding Works Outside Core Area</t>
  </si>
  <si>
    <t>Blades</t>
  </si>
  <si>
    <t>Blade 1</t>
  </si>
  <si>
    <t>Shop Drawings | Civil | Blades | Blade 1</t>
  </si>
  <si>
    <t>Blade 2</t>
  </si>
  <si>
    <t>Shop Drawings | Civil | Blades | Blade 2</t>
  </si>
  <si>
    <t>QP.E.CV.BL2.GEN.1060</t>
  </si>
  <si>
    <t>Blade 3</t>
  </si>
  <si>
    <t>Shop Drawings | Civil | Blades | Blade 3</t>
  </si>
  <si>
    <t>Blade 4</t>
  </si>
  <si>
    <t>Shop Drawings | Civil | Blades | Blade 4</t>
  </si>
  <si>
    <t>Blade 5</t>
  </si>
  <si>
    <t>Shop Drawings | Civil | Blades | Blade 5</t>
  </si>
  <si>
    <t>Parking</t>
  </si>
  <si>
    <t>Shop Drawings | Civil | Parking</t>
  </si>
  <si>
    <t>Concrete</t>
  </si>
  <si>
    <t>Concrete Structure - Main Building</t>
  </si>
  <si>
    <t>Basement 03 &amp; 02 - Foundation Works Core Area</t>
  </si>
  <si>
    <t>Shop Drawings | Concrete | Concrete Structure - Main Building | Basement 03 &amp; 02 - Foundation Works Core Area</t>
  </si>
  <si>
    <t>QP.E.CV.MBL.GEN.3000</t>
  </si>
  <si>
    <t>Floor Level - Basement 03 +887.750M</t>
  </si>
  <si>
    <t>Shop Drawings | Concrete | Concrete Structure - Main Building | Floor Level - Basement 03 +887.750M</t>
  </si>
  <si>
    <t>QP.E.CV.MBL.GEN.3030</t>
  </si>
  <si>
    <t>Basement 03 &amp; 02 - SOG</t>
  </si>
  <si>
    <t>Shop Drawings | Concrete | Concrete Structure - Main Building | Basement 03 &amp; 02 - SOG</t>
  </si>
  <si>
    <t>QP.E.CV.MBL.GEN.3640</t>
  </si>
  <si>
    <t>Basement 02 - Foundation Works Outside Core Area</t>
  </si>
  <si>
    <t>Shop Drawings | Concrete | Concrete Structure - Main Building | Basement 02 - Foundation Works Outside Core Area</t>
  </si>
  <si>
    <t>QP.E.CV.MBL.GEN.3020</t>
  </si>
  <si>
    <t>Floor Level - Basement 02 +893.5M</t>
  </si>
  <si>
    <t>Shop Drawings | Concrete | Concrete Structure - Main Building | Floor Level - Basement 02 +893.5M</t>
  </si>
  <si>
    <t>QP.E.CV.MBL.GEN.3070</t>
  </si>
  <si>
    <t>Floor Level - Basement 01 +900.5M</t>
  </si>
  <si>
    <t>Shop Drawings | Concrete | Concrete Structure - Main Building | Floor Level - Basement 01 +900.5M</t>
  </si>
  <si>
    <t>QP.E.CV.MBL.GEN.3100</t>
  </si>
  <si>
    <t>Floor Level - L01- LOBBY LEVEL +905M</t>
  </si>
  <si>
    <t>Shop Drawings | Concrete | Concrete Structure - Main Building | Floor Level - L01- LOBBY LEVEL +905M</t>
  </si>
  <si>
    <t>QP.E.CV.MBL.GEN.3120</t>
  </si>
  <si>
    <t>Floor Level - L01 - MEZZANINE +909M</t>
  </si>
  <si>
    <t>Shop Drawings | Concrete | Concrete Structure - Main Building | Floor Level - L01 - MEZZANINE +909M</t>
  </si>
  <si>
    <t>QP.E.CV.MBL.GEN.3140</t>
  </si>
  <si>
    <t>Floor Level - L02 - THEATRE STALLS +913M</t>
  </si>
  <si>
    <t>Level 02 Concrete Super Structure Including Embedded items</t>
  </si>
  <si>
    <t>Shop Drawings | Concrete | Concrete Structure - Main Building | Floor Level - L02 - THEATRE STALLS +913M | Level 02 Concrete Super Structure Including Embedded items</t>
  </si>
  <si>
    <t>QP.E.CV.MBL.GEN.3180</t>
  </si>
  <si>
    <t>Level 02 Precast Concrete Works Including Embedded items</t>
  </si>
  <si>
    <t>Shop Drawings | Concrete | Concrete Structure - Main Building | Floor Level - L02 - THEATRE STALLS +913M | Level 02 Precast Concrete Works Including Embedded items</t>
  </si>
  <si>
    <t>QP.E.CV.MBL.GEN.3380</t>
  </si>
  <si>
    <t>Floor Level - L03 STALL MEZZANINE +917.5M</t>
  </si>
  <si>
    <t>Level 03 Concrete Super Structure Including Embedded items</t>
  </si>
  <si>
    <t>Shop Drawings | Concrete | Concrete Structure - Main Building | Floor Level - L03 STALL MEZZANINE +917.5M | Level 03 Concrete Super Structure Including Embedded items</t>
  </si>
  <si>
    <t>QP.E.CV.MBL.GEN.3220</t>
  </si>
  <si>
    <t>Level 03 Precast Concrete Works Including Embedded items</t>
  </si>
  <si>
    <t>Shop Drawings | Concrete | Concrete Structure - Main Building | Floor Level - L03 STALL MEZZANINE +917.5M | Level 03 Precast Concrete Works Including Embedded items</t>
  </si>
  <si>
    <t>QP.E.CV.MBL.GEN.3400</t>
  </si>
  <si>
    <t>Floor Level - L04 +921M</t>
  </si>
  <si>
    <t>Level 04 Concrete Super Structure Including Embedded items</t>
  </si>
  <si>
    <t>Shop Drawings | Concrete | Concrete Structure - Main Building | Floor Level - L04 +921M | Level 04 Concrete Super Structure Including Embedded items</t>
  </si>
  <si>
    <t>QP.E.CV.MBL.GEN.3240</t>
  </si>
  <si>
    <t>Level 04 Precast Concrete Works Including Embedded items</t>
  </si>
  <si>
    <t>Shop Drawings | Concrete | Concrete Structure - Main Building | Floor Level - L04 +921M | Level 04 Precast Concrete Works Including Embedded items</t>
  </si>
  <si>
    <t>QP.E.CV.MBL.GEN.3420</t>
  </si>
  <si>
    <t>Floor Level - L05 LOFT +928M</t>
  </si>
  <si>
    <t>Level 05 Concrete Super Structure Including Embedded items</t>
  </si>
  <si>
    <t>Shop Drawings | Concrete | Concrete Structure - Main Building | Floor Level - L05 LOFT +928M | Level 05 Concrete Super Structure Including Embedded items</t>
  </si>
  <si>
    <t>QP.E.CV.MBL.GEN.3260</t>
  </si>
  <si>
    <t>Level 05 Precast Concrete Works Including Embedded items</t>
  </si>
  <si>
    <t>Shop Drawings | Concrete | Concrete Structure - Main Building | Floor Level - L05 LOFT +928M | Level 05 Precast Concrete Works Including Embedded items</t>
  </si>
  <si>
    <t>QP.E.CV.MBL.GEN.3440</t>
  </si>
  <si>
    <t>Floor Level - L06 - MEP +931.7M &amp; SKY GARDEN +935.85M</t>
  </si>
  <si>
    <t>Shop Drawings | Concrete | Concrete Structure - Main Building | Floor Level - L06 - MEP +931.7M &amp; SKY GARDEN +935.85M</t>
  </si>
  <si>
    <t>QP.E.CV.MBL.GEN.3280</t>
  </si>
  <si>
    <t>Floor Level - L08 - L8 ROYAL MAJLIS +948.28M</t>
  </si>
  <si>
    <t>Shop Drawings | Concrete | Concrete Structure - Main Building | Floor Level - L08 - L8 ROYAL MAJLIS +948.28M</t>
  </si>
  <si>
    <t>QP.E.CV.MBL.GEN.3300</t>
  </si>
  <si>
    <t>Concrete Structure - Premium Theatre Concrete Works</t>
  </si>
  <si>
    <t>Shop Drawings | Concrete | Concrete Structure - Premium Theatre Concrete Works</t>
  </si>
  <si>
    <t>QP.E.CV.MBL.GEN.3150</t>
  </si>
  <si>
    <t>Concrete Structure - Amphitheatre Concrete Works</t>
  </si>
  <si>
    <t>Shop Drawings | Concrete | Concrete Structure - Amphitheatre Concrete Works</t>
  </si>
  <si>
    <t>QP.E.CV.MBL.GEN.3200</t>
  </si>
  <si>
    <t>Composite Slabs</t>
  </si>
  <si>
    <t>Premium Theater</t>
  </si>
  <si>
    <t>Shop Drawings | Concrete | Composite Slabs | Premium Theater</t>
  </si>
  <si>
    <t>QP.E.CV.MBL.GEN.3660</t>
  </si>
  <si>
    <t>Loft and Adaptable Theatre</t>
  </si>
  <si>
    <t>Shop Drawings | Concrete | Composite Slabs | Loft and Adaptable Theatre</t>
  </si>
  <si>
    <t>QP.E.CV.MBL.GEN.3700</t>
  </si>
  <si>
    <t>Fly Tower</t>
  </si>
  <si>
    <t>Shop Drawings | Concrete | Composite Slabs | Fly Tower</t>
  </si>
  <si>
    <t>QP.E.CV.MBL.GEN.3710</t>
  </si>
  <si>
    <t>Lobby &amp; Plaza</t>
  </si>
  <si>
    <t>Shop Drawings | Concrete | Composite Slabs | Lobby &amp; Plaza</t>
  </si>
  <si>
    <t>QP.E.CV.MBL.GEN.3680</t>
  </si>
  <si>
    <t>Royal Majlis</t>
  </si>
  <si>
    <t>Shop Drawings | Concrete | Composite Slabs | Royal Majlis</t>
  </si>
  <si>
    <t>QP.E.CV.MBL.GEN.3740</t>
  </si>
  <si>
    <t>Concrete Structure - Blades</t>
  </si>
  <si>
    <t>Foundation</t>
  </si>
  <si>
    <t>Shop Drawings | Concrete | Concrete Structure - Blades | Blade 1 | Foundation</t>
  </si>
  <si>
    <t>QP.E.CV.BL1.GEN.1000</t>
  </si>
  <si>
    <t>Super Structure</t>
  </si>
  <si>
    <t>Steel Composite Slab Below Loft</t>
  </si>
  <si>
    <t>Shop Drawings | Concrete | Concrete Structure - Blades | Blade 1 | Super Structure | Steel Composite Slab Below Loft</t>
  </si>
  <si>
    <t>QP.E.CV.BL1.GEN.1040</t>
  </si>
  <si>
    <t>Retaining Wall</t>
  </si>
  <si>
    <t>Shop Drawings | Concrete | Concrete Structure - Blades | Blade 1 | Super Structure | Retaining Wall</t>
  </si>
  <si>
    <t>QP.E.CV.BL1.GEN.1080</t>
  </si>
  <si>
    <t>Precast Stairs Below Loft</t>
  </si>
  <si>
    <t>Shop Drawings | Concrete | Concrete Structure - Blades | Blade 1 | Super Structure | Precast Stairs Below Loft</t>
  </si>
  <si>
    <t>QP.E.CV.BL1.GEN.1020</t>
  </si>
  <si>
    <t>Precast Stairs Above Loft</t>
  </si>
  <si>
    <t>Shop Drawings | Concrete | Concrete Structure - Blades | Blade 1 | Super Structure | Precast Stairs Above Loft</t>
  </si>
  <si>
    <t>QP.E.CV.BL1.GEN.1120</t>
  </si>
  <si>
    <t>Steel Composite Slab Above Loft</t>
  </si>
  <si>
    <t>Shop Drawings | Concrete | Concrete Structure - Blades | Blade 1 | Super Structure | Steel Composite Slab Above Loft</t>
  </si>
  <si>
    <t>QP.E.CV.BL1.GEN.1100</t>
  </si>
  <si>
    <t>Shop Drawings | Concrete | Concrete Structure - Blades | Blade 2 | Foundation</t>
  </si>
  <si>
    <t>QP.E.CV.BL2.GEN.1000</t>
  </si>
  <si>
    <t>Shop Drawings | Concrete | Concrete Structure - Blades | Blade 2 | Super Structure | Steel Composite Slab Below Loft</t>
  </si>
  <si>
    <t>QP.E.CV.BL2.GEN.1040</t>
  </si>
  <si>
    <t>Shop Drawings | Concrete | Concrete Structure - Blades | Blade 2 | Super Structure | Retaining Wall</t>
  </si>
  <si>
    <t>QP.E.CV.BL2.GEN.1080</t>
  </si>
  <si>
    <t>Shop Drawings | Concrete | Concrete Structure - Blades | Blade 2 | Super Structure | Precast Stairs Below Loft</t>
  </si>
  <si>
    <t>QP.E.CV.BL2.GEN.1020</t>
  </si>
  <si>
    <t>Shop Drawings | Concrete | Concrete Structure - Blades | Blade 2 | Super Structure | Steel Composite Slab Above Loft</t>
  </si>
  <si>
    <t>QP.E.CV.BL2.GEN.1140</t>
  </si>
  <si>
    <t>Shop Drawings | Concrete | Concrete Structure - Blades | Blade 2 | Super Structure | Precast Stairs Above Loft</t>
  </si>
  <si>
    <t>QP.E.CV.BL2.GEN.1120</t>
  </si>
  <si>
    <t>Shop Drawings | Concrete | Concrete Structure - Blades | Blade 3 | Foundation</t>
  </si>
  <si>
    <t>QP.E.CV.BL3.GEN.1000</t>
  </si>
  <si>
    <t>Steel Composite Slab Including Embedded items Below Loft</t>
  </si>
  <si>
    <t>Shop Drawings | Concrete | Concrete Structure - Blades | Blade 3 | Super Structure | Steel Composite Slab Including Embedded items Below Loft</t>
  </si>
  <si>
    <t>QP.E.CV.BL3.GEN.1030</t>
  </si>
  <si>
    <t>Shop Drawings | Concrete | Concrete Structure - Blades | Blade 3 | Super Structure | Retaining Wall</t>
  </si>
  <si>
    <t>QP.E.CV.BL3.GEN.1080</t>
  </si>
  <si>
    <t>Shop Drawings | Concrete | Concrete Structure - Blades | Blade 3 | Super Structure | Precast Stairs Below Loft</t>
  </si>
  <si>
    <t>QP.E.CV.BL3.GEN.1020</t>
  </si>
  <si>
    <t>Shop Drawings | Concrete | Concrete Structure - Blades | Blade 4 | Foundation</t>
  </si>
  <si>
    <t>QP.E.CV.BL4.GEN.1000</t>
  </si>
  <si>
    <t>Shop Drawings | Concrete | Concrete Structure - Blades | Blade 4 | Super Structure | Steel Composite Slab Below Loft</t>
  </si>
  <si>
    <t>QP.E.CV.BL4.GEN.1030</t>
  </si>
  <si>
    <t>Shop Drawings | Concrete | Concrete Structure - Blades | Blade 4 | Super Structure | Retaining Wall</t>
  </si>
  <si>
    <t>QP.E.CV.BL4.GEN.1080</t>
  </si>
  <si>
    <t>Shop Drawings | Concrete | Concrete Structure - Blades | Blade 4 | Super Structure | Precast Stairs Below Loft</t>
  </si>
  <si>
    <t>QP.E.CV.BL4.GEN.1020</t>
  </si>
  <si>
    <t>Shop Drawings | Concrete | Concrete Structure - Blades | Blade 4 | Super Structure | Precast Stairs Above Loft</t>
  </si>
  <si>
    <t>QP.E.CV.BL4.GEN.1100</t>
  </si>
  <si>
    <t>Shop Drawings | Concrete | Concrete Structure - Blades | Blade 4 | Super Structure | Steel Composite Slab Above Loft</t>
  </si>
  <si>
    <t>QP.E.CV.BL4.GEN.1120</t>
  </si>
  <si>
    <t>Shop Drawings | Concrete | Concrete Structure - Blades | Blade 5 | Foundation</t>
  </si>
  <si>
    <t>QP.E.CV.BL5.GEN.1000</t>
  </si>
  <si>
    <t>Shop Drawings | Concrete | Concrete Structure - Blades | Blade 5 | Super Structure | Steel Composite Slab Below Loft</t>
  </si>
  <si>
    <t>QP.E.CV.BL5.GEN.1030</t>
  </si>
  <si>
    <t>Shop Drawings | Concrete | Concrete Structure - Blades | Blade 5 | Super Structure | Retaining Wall</t>
  </si>
  <si>
    <t>QP.E.CV.BL5.GEN.1080</t>
  </si>
  <si>
    <t>Shop Drawings | Concrete | Concrete Structure - Blades | Blade 5 | Super Structure | Precast Stairs Below Loft</t>
  </si>
  <si>
    <t>QP.E.CV.BL5.GEN.1020</t>
  </si>
  <si>
    <t>Shop Drawings | Concrete | Concrete Structure - Blades | Blade 5 | Super Structure | Steel Composite Slab Above Loft</t>
  </si>
  <si>
    <t>QP.E.CV.BL5.GEN.1100</t>
  </si>
  <si>
    <t>Shop Drawings | Concrete | Concrete Structure - Blades | Blade 5 | Super Structure | Precast Stairs Above Loft</t>
  </si>
  <si>
    <t>QP.E.CV.BL5.GEN.1120</t>
  </si>
  <si>
    <t>Foundation Including Embedded items</t>
  </si>
  <si>
    <t>Shop Drawings | Concrete | Parking | Foundation Including Embedded items</t>
  </si>
  <si>
    <t>QP.E.CV.PAR.GEN.1020</t>
  </si>
  <si>
    <t>Structural Concrete Works Including Embedded items</t>
  </si>
  <si>
    <t>Shop Drawings | Concrete | Parking | Structural Concrete Works Including Embedded items</t>
  </si>
  <si>
    <t>QP.E.CV.PAR.GEN.1040</t>
  </si>
  <si>
    <t>Structural Steel</t>
  </si>
  <si>
    <t>Batch 01 - Structural Steel and Metal Deck for Blade 1, 2, 3, 4, 5 Below Loft</t>
  </si>
  <si>
    <t>Temporay Tower Below Loft</t>
  </si>
  <si>
    <t>Shop Drawings | Structural Steel | Batch 01 - Structural Steel and Metal Deck for Blade 1, 2, 3, 4, 5 Below Loft | Temporay Tower Below Loft</t>
  </si>
  <si>
    <t>QP.E.ST.GEN.GEN.1090</t>
  </si>
  <si>
    <t>Blade 01 - Below Loft Incl. Metal Deck</t>
  </si>
  <si>
    <t>Shop Drawings | Structural Steel | Batch 01 - Structural Steel and Metal Deck for Blade 1, 2, 3, 4, 5 Below Loft | Blade 01 - Below Loft Incl. Metal Deck</t>
  </si>
  <si>
    <t>QP.E.ST.GEN.GEN.1100</t>
  </si>
  <si>
    <t>Blade 02 - Below Loft Incl. Metal Deck</t>
  </si>
  <si>
    <t>Shop Drawings | Structural Steel | Batch 01 - Structural Steel and Metal Deck for Blade 1, 2, 3, 4, 5 Below Loft | Blade 02 - Below Loft Incl. Metal Deck</t>
  </si>
  <si>
    <t>QP.E.ST.GEN.GEN.1110</t>
  </si>
  <si>
    <t>Blade 03 - Below Loft Incl. Metal Deck</t>
  </si>
  <si>
    <t>Shop Drawings | Structural Steel | Batch 01 - Structural Steel and Metal Deck for Blade 1, 2, 3, 4, 5 Below Loft | Blade 03 - Below Loft Incl. Metal Deck</t>
  </si>
  <si>
    <t>QP.E.ST.GEN.GEN.1050</t>
  </si>
  <si>
    <t>Blade 04 - Below Loft Incl. Metal Deck</t>
  </si>
  <si>
    <t>Shop Drawings | Structural Steel | Batch 01 - Structural Steel and Metal Deck for Blade 1, 2, 3, 4, 5 Below Loft | Blade 04 - Below Loft Incl. Metal Deck</t>
  </si>
  <si>
    <t>QP.E.ST.GEN.GEN.1060</t>
  </si>
  <si>
    <t>Blade 05 - Below Loft Incl. Metal Deck</t>
  </si>
  <si>
    <t>Shop Drawings | Structural Steel | Batch 01 - Structural Steel and Metal Deck for Blade 1, 2, 3, 4, 5 Below Loft | Blade 05 - Below Loft Incl. Metal Deck</t>
  </si>
  <si>
    <t>QP.E.ST.GEN.GEN.1070</t>
  </si>
  <si>
    <t>Embedded part - Blades Pile Cap - 3,4,5</t>
  </si>
  <si>
    <t>Shop Drawings | Structural Steel | Batch 01 - Structural Steel and Metal Deck for Blade 1, 2, 3, 4, 5 Below Loft | Embedded part - Blades Pile Cap - 3,4,5</t>
  </si>
  <si>
    <t>QP.E.ST.GEN.GEN.1000</t>
  </si>
  <si>
    <t>Embedded part - Blades Pile Cap - 1,2 and Main Building Below Level 5</t>
  </si>
  <si>
    <t>Shop Drawings | Structural Steel | Batch 01 - Structural Steel and Metal Deck for Blade 1, 2, 3, 4, 5 Below Loft | Embedded part - Blades Pile Cap - 1,2 and Main Building Below Level 5</t>
  </si>
  <si>
    <t>QP.E.ST.GEN.GEN.1010</t>
  </si>
  <si>
    <t>Truss below Auditorium, Side and Back Stage</t>
  </si>
  <si>
    <t>Shop Drawings | Structural Steel | Batch 01 - Structural Steel and Metal Deck for Blade 1, 2, 3, 4, 5 Below Loft | Truss below Auditorium, Side and Back Stage</t>
  </si>
  <si>
    <t>QP.E.ST.GEN.GEN.2120</t>
  </si>
  <si>
    <t>Batch 02 - Structural Steel and Metal Deck for Blade 1, 2, 3, 4, 5 Below Loft and Premium Threater</t>
  </si>
  <si>
    <t>Shop Drawings | Structural Steel | Batch 02 - Structural Steel and Metal Deck for Blade 1, 2, 3, 4, 5 Below Loft and Premium Threater | Blade 01 - Below Loft Incl. Metal Deck</t>
  </si>
  <si>
    <t>QP.E.ST.GEN.GEN.1220</t>
  </si>
  <si>
    <t>Shop Drawings | Structural Steel | Batch 02 - Structural Steel and Metal Deck for Blade 1, 2, 3, 4, 5 Below Loft and Premium Threater | Blade 02 - Below Loft Incl. Metal Deck</t>
  </si>
  <si>
    <t>QP.E.ST.GEN.GEN.1230</t>
  </si>
  <si>
    <t>Shop Drawings | Structural Steel | Batch 02 - Structural Steel and Metal Deck for Blade 1, 2, 3, 4, 5 Below Loft and Premium Threater | Blade 03 - Below Loft Incl. Metal Deck</t>
  </si>
  <si>
    <t>QP.E.ST.GEN.GEN.1200</t>
  </si>
  <si>
    <t>Shop Drawings | Structural Steel | Batch 02 - Structural Steel and Metal Deck for Blade 1, 2, 3, 4, 5 Below Loft and Premium Threater | Blade 04 - Below Loft Incl. Metal Deck</t>
  </si>
  <si>
    <t>QP.E.ST.GEN.GEN.1210</t>
  </si>
  <si>
    <t>Shop Drawings | Structural Steel | Batch 02 - Structural Steel and Metal Deck for Blade 1, 2, 3, 4, 5 Below Loft and Premium Threater | Blade 05 - Below Loft Incl. Metal Deck</t>
  </si>
  <si>
    <t>QP.E.ST.GEN.GEN.1190</t>
  </si>
  <si>
    <t>Embedded part - Main Building Above Level 5</t>
  </si>
  <si>
    <t>Shop Drawings | Structural Steel | Batch 02 - Structural Steel and Metal Deck for Blade 1, 2, 3, 4, 5 Below Loft and Premium Threater | Embedded part - Main Building Above Level 5</t>
  </si>
  <si>
    <t>QP.E.ST.GEN.GEN.1040</t>
  </si>
  <si>
    <t>Premium Theater - Frame Balconies and Back Stage Dressing</t>
  </si>
  <si>
    <t>Shop Drawings | Structural Steel | Batch 02 - Structural Steel and Metal Deck for Blade 1, 2, 3, 4, 5 Below Loft and Premium Threater | Premium Theater - Frame Balconies and Back Stage Dressing</t>
  </si>
  <si>
    <t>QP.E.ST.GEN.GEN.2140</t>
  </si>
  <si>
    <t>Batch 03 - Structural Steel and Metal Deck for Blade 1, 2, 3, 4, 5 Below Loft</t>
  </si>
  <si>
    <t>Temporay Tower Loft and adaptable Theatre</t>
  </si>
  <si>
    <t>Shop Drawings | Structural Steel | Batch 03 - Structural Steel and Metal Deck for Blade 1, 2, 3, 4, 5 Below Loft | Temporay Tower Loft and adaptable Theatre</t>
  </si>
  <si>
    <t>QP.E.ST.GEN.GEN.1340</t>
  </si>
  <si>
    <t>Shop Drawings | Structural Steel | Batch 03 - Structural Steel and Metal Deck for Blade 1, 2, 3, 4, 5 Below Loft | Blade 01 - Below Loft Incl. Metal Deck</t>
  </si>
  <si>
    <t>QP.E.ST.GEN.GEN.1390</t>
  </si>
  <si>
    <t>Shop Drawings | Structural Steel | Batch 03 - Structural Steel and Metal Deck for Blade 1, 2, 3, 4, 5 Below Loft | Blade 02 - Below Loft Incl. Metal Deck</t>
  </si>
  <si>
    <t>QP.E.ST.GEN.GEN.1400</t>
  </si>
  <si>
    <t>Shop Drawings | Structural Steel | Batch 03 - Structural Steel and Metal Deck for Blade 1, 2, 3, 4, 5 Below Loft | Blade 03 - Below Loft Incl. Metal Deck</t>
  </si>
  <si>
    <t>QP.E.ST.GEN.GEN.1310</t>
  </si>
  <si>
    <t>Shop Drawings | Structural Steel | Batch 03 - Structural Steel and Metal Deck for Blade 1, 2, 3, 4, 5 Below Loft | Blade 04 - Below Loft Incl. Metal Deck</t>
  </si>
  <si>
    <t>QP.E.ST.GEN.GEN.1320</t>
  </si>
  <si>
    <t>Shop Drawings | Structural Steel | Batch 03 - Structural Steel and Metal Deck for Blade 1, 2, 3, 4, 5 Below Loft | Blade 05 - Below Loft Incl. Metal Deck</t>
  </si>
  <si>
    <t>QP.E.ST.GEN.GEN.1330</t>
  </si>
  <si>
    <t>Batch 04 - Structural Steel for Loft truss, Infilled beam and Truss above Auditorium</t>
  </si>
  <si>
    <t>South Loft Steel and Infilled Beams Incl. Metal Deck</t>
  </si>
  <si>
    <t>Shop Drawings | Structural Steel | Batch 04 - Structural Steel for Loft truss, Infilled beam and Truss above Auditorium | South Loft Steel and Infilled Beams Incl. Metal Deck</t>
  </si>
  <si>
    <t>QP.E.ST.GEN.GEN.1470</t>
  </si>
  <si>
    <t>Truss above Auditorium Incl. Metal Deck</t>
  </si>
  <si>
    <t>Shop Drawings | Structural Steel | Batch 04 - Structural Steel for Loft truss, Infilled beam and Truss above Auditorium | Truss above Auditorium Incl. Metal Deck</t>
  </si>
  <si>
    <t>QP.E.ST.GEN.GEN.2100</t>
  </si>
  <si>
    <t>Batch 05 - Structural Steel for Blade 4 &amp; 5, Loft Truss, Infilled beam and Truss above Flytower</t>
  </si>
  <si>
    <t>Temporay Tower ROYAL MAJLIS and Blades above loft</t>
  </si>
  <si>
    <t>Shop Drawings | Structural Steel | Batch 05 - Structural Steel for Blade 4 &amp; 5, Loft Truss, Infilled beam and Truss above Flytower | Temporay Tower ROYAL MAJLIS and Blades above loft</t>
  </si>
  <si>
    <t>QP.E.ST.GEN.GEN.1490</t>
  </si>
  <si>
    <t>Blade 4 &amp; 5 - Structural Steel and Metal Deck Above Loft</t>
  </si>
  <si>
    <t>Shop Drawings | Structural Steel | Batch 05 - Structural Steel for Blade 4 &amp; 5, Loft Truss, Infilled beam and Truss above Flytower | Blade 4 &amp; 5 - Structural Steel and Metal Deck Above Loft</t>
  </si>
  <si>
    <t>QP.E.ST.GEN.GEN.2160</t>
  </si>
  <si>
    <t>Shop Drawings | Structural Steel | Batch 05 - Structural Steel for Blade 4 &amp; 5, Loft Truss, Infilled beam and Truss above Flytower | South Loft Steel and Infilled Beams Incl. Metal Deck</t>
  </si>
  <si>
    <t>QP.E.ST.GEN.GEN.1520</t>
  </si>
  <si>
    <t>Truss above Flytower</t>
  </si>
  <si>
    <t>Shop Drawings | Structural Steel | Batch 05 - Structural Steel for Blade 4 &amp; 5, Loft Truss, Infilled beam and Truss above Flytower | Truss above Flytower</t>
  </si>
  <si>
    <t>QP.E.ST.GEN.GEN.2180</t>
  </si>
  <si>
    <t>Batch 06 - Structural Steel for Blade 2, Loft truss and Infilled beam</t>
  </si>
  <si>
    <t>North Loft Steel and Infilled Beams Incl. Metal Deck</t>
  </si>
  <si>
    <t>Shop Drawings | Structural Steel | Batch 06 - Structural Steel for Blade 2, Loft truss and Infilled beam | North Loft Steel and Infilled Beams Incl. Metal Deck</t>
  </si>
  <si>
    <t>QP.E.ST.GEN.GEN.1540</t>
  </si>
  <si>
    <t>Blade 2 - Structural Steel and Metal Deck Above Loft</t>
  </si>
  <si>
    <t>Shop Drawings | Structural Steel | Batch 06 - Structural Steel for Blade 2, Loft truss and Infilled beam | Blade 2 - Structural Steel and Metal Deck Above Loft</t>
  </si>
  <si>
    <t>QP.E.ST.GEN.GEN.2200</t>
  </si>
  <si>
    <t>Batch 07 - Structural Steel for Loft truss, Infilled beam and Adaptable theater</t>
  </si>
  <si>
    <t>Adaptable Theatre Incl. Metal Deck</t>
  </si>
  <si>
    <t>Shop Drawings | Structural Steel | Batch 07 - Structural Steel for Loft truss, Infilled beam and Adaptable theater | Adaptable Theatre Incl. Metal Deck</t>
  </si>
  <si>
    <t>QP.E.ST.GEN.GEN.1560</t>
  </si>
  <si>
    <t>Shop Drawings | Structural Steel | Batch 07 - Structural Steel for Loft truss, Infilled beam and Adaptable theater | North Loft Steel and Infilled Beams Incl. Metal Deck</t>
  </si>
  <si>
    <t>QP.E.ST.GEN.GEN.2220</t>
  </si>
  <si>
    <t>Batch 08 - Structural Steel for Blade 1, Loft truss and Infilled beam</t>
  </si>
  <si>
    <t>Loft Truss and Infilled Beam North Side Incl. Metal Deck</t>
  </si>
  <si>
    <t>Shop Drawings | Structural Steel | Batch 08 - Structural Steel for Blade 1, Loft truss and Infilled beam | Loft Truss and Infilled Beam North Side Incl. Metal Deck</t>
  </si>
  <si>
    <t>QP.E.ST.GEN.GEN.1610</t>
  </si>
  <si>
    <t>Blade 1 - Structural Steel and Metal Deck Above Loft</t>
  </si>
  <si>
    <t>Shop Drawings | Structural Steel | Batch 08 - Structural Steel for Blade 1, Loft truss and Infilled beam | Blade 1 - Structural Steel and Metal Deck Above Loft</t>
  </si>
  <si>
    <t>QP.E.ST.GEN.GEN.1600</t>
  </si>
  <si>
    <t>Batch 09 - Structural Steel for Blade 1, Lobby &amp; plaza, Link Bridge and Helix</t>
  </si>
  <si>
    <t>Lobby and Plaza Incl. Metal Deck</t>
  </si>
  <si>
    <t>Shop Drawings | Structural Steel | Batch 09 - Structural Steel for Blade 1, Lobby &amp; plaza, Link Bridge and Helix | Lobby and Plaza Incl. Metal Deck</t>
  </si>
  <si>
    <t>QP.E.ST.GEN.GEN.1660</t>
  </si>
  <si>
    <t>Frame for Mezzanine</t>
  </si>
  <si>
    <t>Shop Drawings | Structural Steel | Batch 09 - Structural Steel for Blade 1, Lobby &amp; plaza, Link Bridge and Helix | Frame for Mezzanine</t>
  </si>
  <si>
    <t>QP.E.ST.GEN.GEN.1670</t>
  </si>
  <si>
    <t>Link Bridge and Helix Stair</t>
  </si>
  <si>
    <t>Shop Drawings | Structural Steel | Batch 09 - Structural Steel for Blade 1, Lobby &amp; plaza, Link Bridge and Helix | Link Bridge and Helix Stair</t>
  </si>
  <si>
    <t>QP.E.ST.GEN.GEN.1570</t>
  </si>
  <si>
    <t>Shop Drawings | Structural Steel | Batch 09 - Structural Steel for Blade 1, Lobby &amp; plaza, Link Bridge and Helix | Blade 1 - Structural Steel and Metal Deck Above Loft</t>
  </si>
  <si>
    <t>QP.E.ST.GEN.GEN.1680</t>
  </si>
  <si>
    <t>Batch 10 - Structural Steel for Royal Majlis Incl. Metal Deck</t>
  </si>
  <si>
    <t>ROYAL MAJLIS</t>
  </si>
  <si>
    <t>Shop Drawings | Structural Steel | Batch 10 - Structural Steel for Royal Majlis Incl. Metal Deck | ROYAL MAJLIS</t>
  </si>
  <si>
    <t>QP.E.ST.GEN.GEN.1640</t>
  </si>
  <si>
    <t>Architecture and Fitouts</t>
  </si>
  <si>
    <t>B3 PROMENADE LEVEL +887.750M</t>
  </si>
  <si>
    <t>Rough Finishing (CMU &amp; GA)</t>
  </si>
  <si>
    <t>Shop Drawings | Architecture and Fitouts | Main Building | B3 PROMENADE LEVEL +887.750M | Rough Finishing (CMU &amp; GA)</t>
  </si>
  <si>
    <t>QP.E.AF.MBL.GEN.1090</t>
  </si>
  <si>
    <t>Finishing (Floor, Wall, Ceiling, Acoustic)</t>
  </si>
  <si>
    <t>Shop Drawings | Architecture and Fitouts | Main Building | B3 PROMENADE LEVEL +887.750M | Finishing (Floor, Wall, Ceiling, Acoustic)</t>
  </si>
  <si>
    <t>QP.E.AF.MBL.GEN.1120</t>
  </si>
  <si>
    <t>Wall Cladding</t>
  </si>
  <si>
    <t>Shop Drawings | Architecture and Fitouts | Main Building | B3 PROMENADE LEVEL +887.750M | Wall Cladding</t>
  </si>
  <si>
    <t>QP.E.AF.MBL.GEN.4440</t>
  </si>
  <si>
    <t>Non-Structural Metal works</t>
  </si>
  <si>
    <t>Shop Drawings | Architecture and Fitouts | Main Building | B3 PROMENADE LEVEL +887.750M | Non-Structural Metal works</t>
  </si>
  <si>
    <t>QP.E.AF.MBL.GEN.1100</t>
  </si>
  <si>
    <t>FFE</t>
  </si>
  <si>
    <t>Shop Drawings | Architecture and Fitouts | Main Building | B3 PROMENADE LEVEL +887.750M | FFE</t>
  </si>
  <si>
    <t>QP.E.AF.MBL.GEN.5260</t>
  </si>
  <si>
    <t>B2 SERVICE LEVEL +893.50M</t>
  </si>
  <si>
    <t>Shop Drawings | Architecture and Fitouts | Main Building | B2 SERVICE LEVEL +893.50M | Rough Finishing (CMU &amp; GA)</t>
  </si>
  <si>
    <t>QP.E.AF.MBL.GEN.1170</t>
  </si>
  <si>
    <t>Shop Drawings | Architecture and Fitouts | Main Building | B2 SERVICE LEVEL +893.50M | Finishing (Floor, Wall, Ceiling, Acoustic)</t>
  </si>
  <si>
    <t>QP.E.AF.MBL.GEN.1200</t>
  </si>
  <si>
    <t>Shop Drawings | Architecture and Fitouts | Main Building | B2 SERVICE LEVEL +893.50M | Wall Cladding</t>
  </si>
  <si>
    <t>QP.E.AF.MBL.GEN.5700</t>
  </si>
  <si>
    <t>Shop Drawings | Architecture and Fitouts | Main Building | B2 SERVICE LEVEL +893.50M | Non-Structural Metal works</t>
  </si>
  <si>
    <t>QP.E.AF.MBL.GEN.1180</t>
  </si>
  <si>
    <t>Shop Drawings | Architecture and Fitouts | Main Building | B2 SERVICE LEVEL +893.50M | FFE</t>
  </si>
  <si>
    <t>QP.E.AF.MBL.GEN.5280</t>
  </si>
  <si>
    <t>B1 SERVICE LEVEL +900.50M</t>
  </si>
  <si>
    <t>Shop Drawings | Architecture and Fitouts | Main Building | B1 SERVICE LEVEL +900.50M | Rough Finishing (CMU &amp; GA)</t>
  </si>
  <si>
    <t>QP.E.AF.MBL.GEN.1220</t>
  </si>
  <si>
    <t>Shop Drawings | Architecture and Fitouts | Main Building | B1 SERVICE LEVEL +900.50M | Finishing (Floor, Wall, Ceiling, Acoustic)</t>
  </si>
  <si>
    <t>QP.E.AF.MBL.GEN.1250</t>
  </si>
  <si>
    <t>Shop Drawings | Architecture and Fitouts | Main Building | B1 SERVICE LEVEL +900.50M | Wall Cladding</t>
  </si>
  <si>
    <t>QP.E.AF.MBL.GEN.5720</t>
  </si>
  <si>
    <t>Shop Drawings | Architecture and Fitouts | Main Building | B1 SERVICE LEVEL +900.50M | Non-Structural Metal works</t>
  </si>
  <si>
    <t>QP.E.AF.MBL.GEN.1230</t>
  </si>
  <si>
    <t>Shop Drawings | Architecture and Fitouts | Main Building | B1 SERVICE LEVEL +900.50M | FFE</t>
  </si>
  <si>
    <t>QP.E.AF.MBL.GEN.5300</t>
  </si>
  <si>
    <t>L1 LOBBY LEVEL +905.00M</t>
  </si>
  <si>
    <t>Shop Drawings | Architecture and Fitouts | Main Building | L1 LOBBY LEVEL +905.00M | Rough Finishing (CMU &amp; GA)</t>
  </si>
  <si>
    <t>QP.E.AF.MBL.GEN.1310</t>
  </si>
  <si>
    <t>Shop Drawings | Architecture and Fitouts | Main Building | L1 LOBBY LEVEL +905.00M | Finishing (Floor, Wall, Ceiling, Acoustic)</t>
  </si>
  <si>
    <t>QP.E.AF.MBL.GEN.1340</t>
  </si>
  <si>
    <t>Shop Drawings | Architecture and Fitouts | Main Building | L1 LOBBY LEVEL +905.00M | Wall Cladding</t>
  </si>
  <si>
    <t>QP.E.AF.MBL.GEN.5800</t>
  </si>
  <si>
    <t>Shop Drawings | Architecture and Fitouts | Main Building | L1 LOBBY LEVEL +905.00M | Non-Structural Metal works</t>
  </si>
  <si>
    <t>QP.E.AF.MBL.GEN.1320</t>
  </si>
  <si>
    <t>Shop Drawings | Architecture and Fitouts | Main Building | L1 LOBBY LEVEL +905.00M | FFE</t>
  </si>
  <si>
    <t>QP.E.AF.MBL.GEN.5320</t>
  </si>
  <si>
    <t>L1 UPEER LOBBY LEVEL MEZZANINE +909M</t>
  </si>
  <si>
    <t>Shop Drawings | Architecture and Fitouts | Main Building | L1 UPEER LOBBY LEVEL MEZZANINE +909M | Rough Finishing (CMU &amp; GA)</t>
  </si>
  <si>
    <t>QP.E.AF.MBL.GEN.1400</t>
  </si>
  <si>
    <t>Shop Drawings | Architecture and Fitouts | Main Building | L1 UPEER LOBBY LEVEL MEZZANINE +909M | Finishing (Floor, Wall, Ceiling, Acoustic)</t>
  </si>
  <si>
    <t>QP.E.AF.MBL.GEN.1430</t>
  </si>
  <si>
    <t>Shop Drawings | Architecture and Fitouts | Main Building | L1 UPEER LOBBY LEVEL MEZZANINE +909M | Wall Cladding</t>
  </si>
  <si>
    <t>QP.E.AF.MBL.GEN.5740</t>
  </si>
  <si>
    <t>Shop Drawings | Architecture and Fitouts | Main Building | L1 UPEER LOBBY LEVEL MEZZANINE +909M | Non-Structural Metal works</t>
  </si>
  <si>
    <t>QP.E.AF.MBL.GEN.1410</t>
  </si>
  <si>
    <t>Shop Drawings | Architecture and Fitouts | Main Building | L1 UPEER LOBBY LEVEL MEZZANINE +909M | FFE</t>
  </si>
  <si>
    <t>QP.E.AF.MBL.GEN.5340</t>
  </si>
  <si>
    <t>L2 THEATRE STALLS +913M</t>
  </si>
  <si>
    <t>Shop Drawings | Architecture and Fitouts | Main Building | L2 THEATRE STALLS +913M | Rough Finishing (CMU &amp; GA)</t>
  </si>
  <si>
    <t>QP.E.AF.MBL.GEN.1000</t>
  </si>
  <si>
    <t>Shop Drawings | Architecture and Fitouts | Main Building | L2 THEATRE STALLS +913M | Finishing (Floor, Wall, Ceiling, Acoustic)</t>
  </si>
  <si>
    <t>QP.E.AF.MBL.GEN.1030</t>
  </si>
  <si>
    <t>Shop Drawings | Architecture and Fitouts | Main Building | L2 THEATRE STALLS +913M | Wall Cladding</t>
  </si>
  <si>
    <t>QP.E.AF.MBL.GEN.5760</t>
  </si>
  <si>
    <t>Shop Drawings | Architecture and Fitouts | Main Building | L2 THEATRE STALLS +913M | Non-Structural Metal works</t>
  </si>
  <si>
    <t>QP.E.AF.MBL.GEN.1010</t>
  </si>
  <si>
    <t>Shop Drawings | Architecture and Fitouts | Main Building | L2 THEATRE STALLS +913M | FFE</t>
  </si>
  <si>
    <t>QP.E.AF.MBL.GEN.5360</t>
  </si>
  <si>
    <t>L3 STALL MEZZ AND ADAPTIVE THEATRE +917.50M</t>
  </si>
  <si>
    <t>Shop Drawings | Architecture and Fitouts | Main Building | L3 STALL MEZZ AND ADAPTIVE THEATRE +917.50M | Rough Finishing (CMU &amp; GA)</t>
  </si>
  <si>
    <t>QP.E.AF.MBL.GEN.1490</t>
  </si>
  <si>
    <t>Shop Drawings | Architecture and Fitouts | Main Building | L3 STALL MEZZ AND ADAPTIVE THEATRE +917.50M | Finishing (Floor, Wall, Ceiling, Acoustic)</t>
  </si>
  <si>
    <t>QP.E.AF.MBL.GEN.1520</t>
  </si>
  <si>
    <t>Shop Drawings | Architecture and Fitouts | Main Building | L3 STALL MEZZ AND ADAPTIVE THEATRE +917.50M | Wall Cladding</t>
  </si>
  <si>
    <t>QP.E.AF.MBL.GEN.5820</t>
  </si>
  <si>
    <t>Shop Drawings | Architecture and Fitouts | Main Building | L3 STALL MEZZ AND ADAPTIVE THEATRE +917.50M | Non-Structural Metal works</t>
  </si>
  <si>
    <t>QP.E.AF.MBL.GEN.1500</t>
  </si>
  <si>
    <t>Shop Drawings | Architecture and Fitouts | Main Building | L3 STALL MEZZ AND ADAPTIVE THEATRE +917.50M | FFE</t>
  </si>
  <si>
    <t>QP.E.AF.MBL.GEN.5380</t>
  </si>
  <si>
    <t>L4 FIRST CIRCLE AND ADAPTIVE THEATRE +921.00M</t>
  </si>
  <si>
    <t>Shop Drawings | Architecture and Fitouts | Main Building | L4 FIRST CIRCLE AND ADAPTIVE THEATRE +921.00M | Rough Finishing (CMU &amp; GA)</t>
  </si>
  <si>
    <t>QP.E.AF.MBL.GEN.1580</t>
  </si>
  <si>
    <t>Shop Drawings | Architecture and Fitouts | Main Building | L4 FIRST CIRCLE AND ADAPTIVE THEATRE +921.00M | Finishing (Floor, Wall, Ceiling, Acoustic)</t>
  </si>
  <si>
    <t>QP.E.AF.MBL.GEN.1610</t>
  </si>
  <si>
    <t>Shop Drawings | Architecture and Fitouts | Main Building | L4 FIRST CIRCLE AND ADAPTIVE THEATRE +921.00M | Wall Cladding</t>
  </si>
  <si>
    <t>QP.E.AF.MBL.GEN.5840</t>
  </si>
  <si>
    <t>Shop Drawings | Architecture and Fitouts | Main Building | L4 FIRST CIRCLE AND ADAPTIVE THEATRE +921.00M | Non-Structural Metal works</t>
  </si>
  <si>
    <t>QP.E.AF.MBL.GEN.1590</t>
  </si>
  <si>
    <t>Shop Drawings | Architecture and Fitouts | Main Building | L4 FIRST CIRCLE AND ADAPTIVE THEATRE +921.00M | FFE</t>
  </si>
  <si>
    <t>QP.E.AF.MBL.GEN.5400</t>
  </si>
  <si>
    <t>L5 SECOND CIRCLE AND LOFT +928.00M</t>
  </si>
  <si>
    <t>Shop Drawings | Architecture and Fitouts | Main Building | L5 SECOND CIRCLE AND LOFT +928.00M | Rough Finishing (CMU &amp; GA)</t>
  </si>
  <si>
    <t>QP.E.AF.MBL.GEN.1670</t>
  </si>
  <si>
    <t>Shop Drawings | Architecture and Fitouts | Main Building | L5 SECOND CIRCLE AND LOFT +928.00M | Finishing (Floor, Wall, Ceiling, Acoustic)</t>
  </si>
  <si>
    <t>QP.E.AF.MBL.GEN.1700</t>
  </si>
  <si>
    <t>Shop Drawings | Architecture and Fitouts | Main Building | L5 SECOND CIRCLE AND LOFT +928.00M | Wall Cladding</t>
  </si>
  <si>
    <t>QP.E.AF.MBL.GEN.5860</t>
  </si>
  <si>
    <t>Shop Drawings | Architecture and Fitouts | Main Building | L5 SECOND CIRCLE AND LOFT +928.00M | Non-Structural Metal works</t>
  </si>
  <si>
    <t>QP.E.AF.MBL.GEN.1680</t>
  </si>
  <si>
    <t>Shop Drawings | Architecture and Fitouts | Main Building | L5 SECOND CIRCLE AND LOFT +928.00M | FFE</t>
  </si>
  <si>
    <t>QP.E.AF.MBL.GEN.5420</t>
  </si>
  <si>
    <t>L5 LOFT MEP MEZZANINE +931.70M</t>
  </si>
  <si>
    <t>Shop Drawings | Architecture and Fitouts | Main Building | L5 LOFT MEP MEZZANINE +931.70M | Rough Finishing (CMU &amp; GA)</t>
  </si>
  <si>
    <t>QP.E.AF.MBL.GEN.1760</t>
  </si>
  <si>
    <t>Shop Drawings | Architecture and Fitouts | Main Building | L5 LOFT MEP MEZZANINE +931.70M | Finishing (Floor, Wall, Ceiling, Acoustic)</t>
  </si>
  <si>
    <t>QP.E.AF.MBL.GEN.1790</t>
  </si>
  <si>
    <t>Shop Drawings | Architecture and Fitouts | Main Building | L5 LOFT MEP MEZZANINE +931.70M | Wall Cladding</t>
  </si>
  <si>
    <t>QP.E.AF.MBL.GEN.5880</t>
  </si>
  <si>
    <t>Shop Drawings | Architecture and Fitouts | Main Building | L5 LOFT MEP MEZZANINE +931.70M | Non-Structural Metal works</t>
  </si>
  <si>
    <t>QP.E.AF.MBL.GEN.1770</t>
  </si>
  <si>
    <t>Shop Drawings | Architecture and Fitouts | Main Building | L5 LOFT MEP MEZZANINE +931.70M | FFE</t>
  </si>
  <si>
    <t>QP.E.AF.MBL.GEN.5440</t>
  </si>
  <si>
    <t>L6 SKY GARDEN +935.85M</t>
  </si>
  <si>
    <t>Shop Drawings | Architecture and Fitouts | Main Building | L6 SKY GARDEN +935.85M | Rough Finishing (CMU &amp; GA)</t>
  </si>
  <si>
    <t>QP.E.AF.MBL.GEN.1880</t>
  </si>
  <si>
    <t>Shop Drawings | Architecture and Fitouts | Main Building | L6 SKY GARDEN +935.85M | Finishing (Floor, Wall, Ceiling, Acoustic)</t>
  </si>
  <si>
    <t>QP.E.AF.MBL.GEN.1910</t>
  </si>
  <si>
    <t>Shop Drawings | Architecture and Fitouts | Main Building | L6 SKY GARDEN +935.85M | Wall Cladding</t>
  </si>
  <si>
    <t>QP.E.AF.MBL.GEN.5900</t>
  </si>
  <si>
    <t>Shop Drawings | Architecture and Fitouts | Main Building | L6 SKY GARDEN +935.85M | Non-Structural Metal works</t>
  </si>
  <si>
    <t>QP.E.AF.MBL.GEN.1890</t>
  </si>
  <si>
    <t>Shop Drawings | Architecture and Fitouts | Main Building | L6 SKY GARDEN +935.85M | FFE</t>
  </si>
  <si>
    <t>QP.E.AF.MBL.GEN.5460</t>
  </si>
  <si>
    <t>L8 ROYAL MAJLIS +948.28M</t>
  </si>
  <si>
    <t>Shop Drawings | Architecture and Fitouts | Main Building | L8 ROYAL MAJLIS +948.28M | Rough Finishing (CMU &amp; GA)</t>
  </si>
  <si>
    <t>QP.E.AF.MBL.GEN.1800</t>
  </si>
  <si>
    <t>Shop Drawings | Architecture and Fitouts | Main Building | L8 ROYAL MAJLIS +948.28M | Finishing (Floor, Wall, Ceiling, Acoustic)</t>
  </si>
  <si>
    <t>QP.E.AF.MBL.GEN.1830</t>
  </si>
  <si>
    <t>Shop Drawings | Architecture and Fitouts | Main Building | L8 ROYAL MAJLIS +948.28M | Wall Cladding</t>
  </si>
  <si>
    <t>QP.E.AF.MBL.GEN.5920</t>
  </si>
  <si>
    <t>Shop Drawings | Architecture and Fitouts | Main Building | L8 ROYAL MAJLIS +948.28M | Non-Structural Metal works</t>
  </si>
  <si>
    <t>QP.E.AF.MBL.GEN.1810</t>
  </si>
  <si>
    <t>Shop Drawings | Architecture and Fitouts | Main Building | L8 ROYAL MAJLIS +948.28M | FFE</t>
  </si>
  <si>
    <t>QP.E.AF.MBL.GEN.5480</t>
  </si>
  <si>
    <t>Blade-1</t>
  </si>
  <si>
    <t>BL1 - LEVEL +870.6M to +899.25M</t>
  </si>
  <si>
    <t>Shop Drawings | Architecture and Fitouts | Blades | Blade-1 | BL1 - LEVEL +870.6M to +899.25M | Rough Finishing (CMU &amp; GA)</t>
  </si>
  <si>
    <t>QP.E.AF.BL1.GEN.1110</t>
  </si>
  <si>
    <t>Shop Drawings | Architecture and Fitouts | Blades | Blade-1 | BL1 - LEVEL +870.6M to +899.25M | Finishing (Floor, Wall, Ceiling, Acoustic)</t>
  </si>
  <si>
    <t>QP.E.AF.BL1.GEN.1140</t>
  </si>
  <si>
    <t>Shop Drawings | Architecture and Fitouts | Blades | Blade-1 | BL1 - LEVEL +870.6M to +899.25M | Non-Structural Metal works</t>
  </si>
  <si>
    <t>QP.E.AF.BL1.GEN.1120</t>
  </si>
  <si>
    <t>BL1 - LEVEL +905.00M to +928.00M</t>
  </si>
  <si>
    <t>Shop Drawings | Architecture and Fitouts | Blades | Blade-1 | BL1 - LEVEL +905.00M to +928.00M | Rough Finishing (CMU &amp; GA)</t>
  </si>
  <si>
    <t>QP.E.AF.BL1.GEN.1370</t>
  </si>
  <si>
    <t>Shop Drawings | Architecture and Fitouts | Blades | Blade-1 | BL1 - LEVEL +905.00M to +928.00M | Finishing (Floor, Wall, Ceiling, Acoustic)</t>
  </si>
  <si>
    <t>QP.E.AF.BL1.GEN.1360</t>
  </si>
  <si>
    <t>Shop Drawings | Architecture and Fitouts | Blades | Blade-1 | BL1 - LEVEL +905.00M to +928.00M | Wall Cladding</t>
  </si>
  <si>
    <t>QP.E.AF.BL1.GEN.5940</t>
  </si>
  <si>
    <t>Shop Drawings | Architecture and Fitouts | Blades | Blade-1 | BL1 - LEVEL +905.00M to +928.00M | Non-Structural Metal works</t>
  </si>
  <si>
    <t>QP.E.AF.BL1.GEN.1340</t>
  </si>
  <si>
    <t>BL1 - LEVEL +935.85M to +993.11M</t>
  </si>
  <si>
    <t>Shop Drawings | Architecture and Fitouts | Blades | Blade-1 | BL1 - LEVEL +935.85M to +993.11M | Rough Finishing (CMU &amp; GA)</t>
  </si>
  <si>
    <t>QP.E.AF.BL1.GEN.1650</t>
  </si>
  <si>
    <t>Shop Drawings | Architecture and Fitouts | Blades | Blade-1 | BL1 - LEVEL +935.85M to +993.11M | Finishing (Floor, Wall, Ceiling, Acoustic)</t>
  </si>
  <si>
    <t>QP.E.AF.BL1.GEN.1680</t>
  </si>
  <si>
    <t>Shop Drawings | Architecture and Fitouts | Blades | Blade-1 | BL1 - LEVEL +935.85M to +993.11M | Non-Structural Metal works</t>
  </si>
  <si>
    <t>QP.E.AF.BL1.GEN.1660</t>
  </si>
  <si>
    <t>Blade-2</t>
  </si>
  <si>
    <t>BL2 - LEVEL +876.26M to +899.25M</t>
  </si>
  <si>
    <t>Shop Drawings | Architecture and Fitouts | Blades | Blade-2 | BL2 - LEVEL +876.26M to +899.25M | Rough Finishing (CMU &amp; GA)</t>
  </si>
  <si>
    <t>QP.E.AF.BL2.GEN.1080</t>
  </si>
  <si>
    <t>Shop Drawings | Architecture and Fitouts | Blades | Blade-2 | BL2 - LEVEL +876.26M to +899.25M | Finishing (Floor, Wall, Ceiling, Acoustic)</t>
  </si>
  <si>
    <t>QP.E.AF.BL2.GEN.1110</t>
  </si>
  <si>
    <t>Shop Drawings | Architecture and Fitouts | Blades | Blade-2 | BL2 - LEVEL +876.26M to +899.25M | Wall Cladding</t>
  </si>
  <si>
    <t>QP.E.AF.BL2.GEN.5960</t>
  </si>
  <si>
    <t>Shop Drawings | Architecture and Fitouts | Blades | Blade-2 | BL2 - LEVEL +876.26M to +899.25M | Non-Structural Metal works</t>
  </si>
  <si>
    <t>QP.E.AF.BL2.GEN.1090</t>
  </si>
  <si>
    <t>BL2 - LEVEL +905.00M to +928.00M</t>
  </si>
  <si>
    <t>Shop Drawings | Architecture and Fitouts | Blades | Blade-2 | BL2 - LEVEL +905.00M to +928.00M | Rough Finishing (CMU &amp; GA)</t>
  </si>
  <si>
    <t>QP.E.AF.BL2.GEN.1580</t>
  </si>
  <si>
    <t>Shop Drawings | Architecture and Fitouts | Blades | Blade-2 | BL2 - LEVEL +905.00M to +928.00M | Finishing (Floor, Wall, Ceiling, Acoustic)</t>
  </si>
  <si>
    <t>QP.E.AF.BL2.GEN.1610</t>
  </si>
  <si>
    <t>Shop Drawings | Architecture and Fitouts | Blades | Blade-2 | BL2 - LEVEL +905.00M to +928.00M | Non-Structural Metal works</t>
  </si>
  <si>
    <t>QP.E.AF.BL2.GEN.1590</t>
  </si>
  <si>
    <t>BL2 - LEVEL +935.85M to +957.25M</t>
  </si>
  <si>
    <t>Shop Drawings | Architecture and Fitouts | Blades | Blade-2 | BL2 - LEVEL +935.85M to +957.25M | Rough Finishing (CMU &amp; GA)</t>
  </si>
  <si>
    <t>QP.E.AF.BL2.GEN.1670</t>
  </si>
  <si>
    <t>Shop Drawings | Architecture and Fitouts | Blades | Blade-2 | BL2 - LEVEL +935.85M to +957.25M | Finishing (Floor, Wall, Ceiling, Acoustic)</t>
  </si>
  <si>
    <t>QP.E.AF.BL2.GEN.1700</t>
  </si>
  <si>
    <t>Shop Drawings | Architecture and Fitouts | Blades | Blade-2 | BL2 - LEVEL +935.85M to +957.25M | Non-Structural Metal works</t>
  </si>
  <si>
    <t>QP.E.AF.BL2.GEN.1680</t>
  </si>
  <si>
    <t>Blade-3</t>
  </si>
  <si>
    <t>BL3 - LEVEL +847.5M to +899.25M</t>
  </si>
  <si>
    <t>Shop Drawings | Architecture and Fitouts | Blades | Blade-3 | BL3 - LEVEL +847.5M to +899.25M | Rough Finishing (CMU &amp; GA)</t>
  </si>
  <si>
    <t>QP.E.AF.BL3.GEN.1000</t>
  </si>
  <si>
    <t>Shop Drawings | Architecture and Fitouts | Blades | Blade-3 | BL3 - LEVEL +847.5M to +899.25M | Finishing (Floor, Wall, Ceiling, Acoustic)</t>
  </si>
  <si>
    <t>QP.E.AF.BL3.GEN.1030</t>
  </si>
  <si>
    <t>Shop Drawings | Architecture and Fitouts | Blades | Blade-3 | BL3 - LEVEL +847.5M to +899.25M | Wall Cladding</t>
  </si>
  <si>
    <t>QP.E.AF.BL3.GEN.5980</t>
  </si>
  <si>
    <t>Shop Drawings | Architecture and Fitouts | Blades | Blade-3 | BL3 - LEVEL +847.5M to +899.25M | Non-Structural Metal works</t>
  </si>
  <si>
    <t>QP.E.AF.BL3.GEN.1010</t>
  </si>
  <si>
    <t>BL3 - LEVEL +905.00M to +931.1M</t>
  </si>
  <si>
    <t>Shop Drawings | Architecture and Fitouts | Blades | Blade-3 | BL3 - LEVEL +905.00M to +931.1M | Rough Finishing (CMU &amp; GA)</t>
  </si>
  <si>
    <t>QP.E.AF.BL3.GEN.1340</t>
  </si>
  <si>
    <t>Shop Drawings | Architecture and Fitouts | Blades | Blade-3 | BL3 - LEVEL +905.00M to +931.1M | Finishing (Floor, Wall, Ceiling, Acoustic)</t>
  </si>
  <si>
    <t>QP.E.AF.BL3.GEN.1370</t>
  </si>
  <si>
    <t>Shop Drawings | Architecture and Fitouts | Blades | Blade-3 | BL3 - LEVEL +905.00M to +931.1M | Non-Structural Metal works</t>
  </si>
  <si>
    <t>QP.E.AF.BL3.GEN.1350</t>
  </si>
  <si>
    <t>Blade-4</t>
  </si>
  <si>
    <t>BL4 - LEVEL +870.5M to +899.25M</t>
  </si>
  <si>
    <t>Shop Drawings | Architecture and Fitouts | Blades | Blade-4 | BL4 - LEVEL +870.5M to +899.25M | Rough Finishing (CMU &amp; GA)</t>
  </si>
  <si>
    <t>QP.E.AF.BL4.GEN.1210</t>
  </si>
  <si>
    <t>Shop Drawings | Architecture and Fitouts | Blades | Blade-4 | BL4 - LEVEL +870.5M to +899.25M | Finishing (Floor, Wall, Ceiling, Acoustic)</t>
  </si>
  <si>
    <t>QP.E.AF.BL4.GEN.1240</t>
  </si>
  <si>
    <t>Shop Drawings | Architecture and Fitouts | Blades | Blade-4 | BL4 - LEVEL +870.5M to +899.25M | Wall Cladding</t>
  </si>
  <si>
    <t>QP.E.AF.BL4.GEN.6000</t>
  </si>
  <si>
    <t>Shop Drawings | Architecture and Fitouts | Blades | Blade-4 | BL4 - LEVEL +870.5M to +899.25M | Non-Structural Metal works</t>
  </si>
  <si>
    <t>QP.E.AF.BL4.GEN.1220</t>
  </si>
  <si>
    <t>BL4 - LEVEL +905M to +928M</t>
  </si>
  <si>
    <t>Shop Drawings | Architecture and Fitouts | Blades | Blade-4 | BL4 - LEVEL +905M to +928M | Rough Finishing (CMU &amp; GA)</t>
  </si>
  <si>
    <t>QP.E.AF.BL4.GEN.1820</t>
  </si>
  <si>
    <t>Shop Drawings | Architecture and Fitouts | Blades | Blade-4 | BL4 - LEVEL +905M to +928M | Finishing (Floor, Wall, Ceiling, Acoustic)</t>
  </si>
  <si>
    <t>QP.E.AF.BL4.GEN.1850</t>
  </si>
  <si>
    <t>Shop Drawings | Architecture and Fitouts | Blades | Blade-4 | BL4 - LEVEL +905M to +928M | Non-Structural Metal works</t>
  </si>
  <si>
    <t>QP.E.AF.BL4.GEN.1830</t>
  </si>
  <si>
    <t>BL4 - LEVEL +935.85M to +975.82M</t>
  </si>
  <si>
    <t>Shop Drawings | Architecture and Fitouts | Blades | Blade-4 | BL4 - LEVEL +935.85M to +975.82M | Rough Finishing (CMU &amp; GA)</t>
  </si>
  <si>
    <t>QP.E.AF.BL4.GEN.1730</t>
  </si>
  <si>
    <t>Shop Drawings | Architecture and Fitouts | Blades | Blade-4 | BL4 - LEVEL +935.85M to +975.82M | Finishing (Floor, Wall, Ceiling, Acoustic)</t>
  </si>
  <si>
    <t>QP.E.AF.BL4.GEN.1760</t>
  </si>
  <si>
    <t>Shop Drawings | Architecture and Fitouts | Blades | Blade-4 | BL4 - LEVEL +935.85M to +975.82M | Non-Structural Metal works</t>
  </si>
  <si>
    <t>QP.E.AF.BL4.GEN.1740</t>
  </si>
  <si>
    <t>Blade-5</t>
  </si>
  <si>
    <t>BL5 - LEVEL +893.5M to +899.5M</t>
  </si>
  <si>
    <t>Shop Drawings | Architecture and Fitouts | Blades | Blade-5 | BL5 - LEVEL +893.5M to +899.5M | Rough Finishing (CMU &amp; GA)</t>
  </si>
  <si>
    <t>QP.E.AF.BL5.GEN.2280</t>
  </si>
  <si>
    <t>Shop Drawings | Architecture and Fitouts | Blades | Blade-5 | BL5 - LEVEL +893.5M to +899.5M | Finishing (Floor, Wall, Ceiling, Acoustic)</t>
  </si>
  <si>
    <t>QP.E.AF.BL5.GEN.2340</t>
  </si>
  <si>
    <t>Shop Drawings | Architecture and Fitouts | Blades | Blade-5 | BL5 - LEVEL +893.5M to +899.5M | Non-Structural Metal works</t>
  </si>
  <si>
    <t>QP.E.AF.BL5.GEN.2300</t>
  </si>
  <si>
    <t>BL5 - LEVEL +905.00M to +928.00M</t>
  </si>
  <si>
    <t>Shop Drawings | Architecture and Fitouts | Blades | Blade-5 | BL5 - LEVEL +905.00M to +928.00M | Rough Finishing (CMU &amp; GA)</t>
  </si>
  <si>
    <t>QP.E.AF.BL5.GEN.1130</t>
  </si>
  <si>
    <t>Shop Drawings | Architecture and Fitouts | Blades | Blade-5 | BL5 - LEVEL +905.00M to +928.00M | Finishing (Floor, Wall, Ceiling, Acoustic)</t>
  </si>
  <si>
    <t>QP.E.AF.BL5.GEN.1160</t>
  </si>
  <si>
    <t>Shop Drawings | Architecture and Fitouts | Blades | Blade-5 | BL5 - LEVEL +905.00M to +928.00M | Non-Structural Metal works</t>
  </si>
  <si>
    <t>QP.E.AF.BL5.GEN.1140</t>
  </si>
  <si>
    <t>BL5 - LEVEL +935.85M to +969.3M</t>
  </si>
  <si>
    <t>Shop Drawings | Architecture and Fitouts | Blades | Blade-5 | BL5 - LEVEL +935.85M to +969.3M | Rough Finishing (CMU &amp; GA)</t>
  </si>
  <si>
    <t>QP.E.AF.BL5.GEN.1500</t>
  </si>
  <si>
    <t>Shop Drawings | Architecture and Fitouts | Blades | Blade-5 | BL5 - LEVEL +935.85M to +969.3M | Finishing (Floor, Wall, Ceiling, Acoustic)</t>
  </si>
  <si>
    <t>QP.E.AF.BL5.GEN.1530</t>
  </si>
  <si>
    <t>Shop Drawings | Architecture and Fitouts | Blades | Blade-5 | BL5 - LEVEL +935.85M to +969.3M | Wall Cladding</t>
  </si>
  <si>
    <t>QP.E.AF.BL5.GEN.6020</t>
  </si>
  <si>
    <t>Shop Drawings | Architecture and Fitouts | Blades | Blade-5 | BL5 - LEVEL +935.85M to +969.3M | Non-Structural Metal works</t>
  </si>
  <si>
    <t>QP.E.AF.BL5.GEN.1510</t>
  </si>
  <si>
    <t>Parking Zone A</t>
  </si>
  <si>
    <t>Shop Drawings | Architecture and Fitouts | Parking | Parking Zone A | Rough Finishing (CMU &amp; GA)</t>
  </si>
  <si>
    <t>QP.E.AF.PAR.GEN.1000</t>
  </si>
  <si>
    <t>Shop Drawings | Architecture and Fitouts | Parking | Parking Zone A | Finishing (Floor, Wall, Ceiling, Acoustic)</t>
  </si>
  <si>
    <t>QP.E.AF.PAR.GEN.1020</t>
  </si>
  <si>
    <t>Doors / Openings</t>
  </si>
  <si>
    <t>Shop Drawings | Architecture and Fitouts | Parking | Parking Zone A | Doors / Openings</t>
  </si>
  <si>
    <t>QP.E.AF.PAR.GEN.1010</t>
  </si>
  <si>
    <t>Specialities</t>
  </si>
  <si>
    <t>Shop Drawings | Architecture and Fitouts | Parking | Parking Zone A | Specialities</t>
  </si>
  <si>
    <t>QP.E.AF.MBL.GEN.5160</t>
  </si>
  <si>
    <t>Parking Zone B</t>
  </si>
  <si>
    <t>Shop Drawings | Architecture and Fitouts | Parking | Parking Zone B | Rough Finishing (CMU &amp; GA)</t>
  </si>
  <si>
    <t>QP.E.AF.PAR.GEN.1030</t>
  </si>
  <si>
    <t>Shop Drawings | Architecture and Fitouts | Parking | Parking Zone B | Finishing (Floor, Wall, Ceiling, Acoustic)</t>
  </si>
  <si>
    <t>QP.E.AF.PAR.GEN.1050</t>
  </si>
  <si>
    <t>Shop Drawings | Architecture and Fitouts | Parking | Parking Zone B | Doors / Openings</t>
  </si>
  <si>
    <t>QP.E.AF.PAR.GEN.1040</t>
  </si>
  <si>
    <t>Shop Drawings | Architecture and Fitouts | Parking | Parking Zone B | Specialities</t>
  </si>
  <si>
    <t>QP.E.AF.MBL.GEN.5200</t>
  </si>
  <si>
    <t>Amphitheatre</t>
  </si>
  <si>
    <t>Shop Drawings | Architecture and Fitouts | Amphitheatre | Rough Finishing (CMU &amp; GA)</t>
  </si>
  <si>
    <t>QP.E.AF.MBL.GEN.4040</t>
  </si>
  <si>
    <t>Shop Drawings | Architecture and Fitouts | Amphitheatre | Finishing (Floor, Wall, Ceiling, Acoustic)</t>
  </si>
  <si>
    <t>QP.E.AF.MBL.GEN.4070</t>
  </si>
  <si>
    <t>Shop Drawings | Architecture and Fitouts | Amphitheatre | Wall Cladding</t>
  </si>
  <si>
    <t>QP.E.AF.MBL.GEN.6040</t>
  </si>
  <si>
    <t>Shop Drawings | Architecture and Fitouts | Amphitheatre | Non-Structural Metal works</t>
  </si>
  <si>
    <t>QP.E.AF.MBL.GEN.4050</t>
  </si>
  <si>
    <t>External Building Works (Guard House, SEC Room)</t>
  </si>
  <si>
    <t>Shop Drawings | External Building Works (Guard House, SEC Room)</t>
  </si>
  <si>
    <t>QP.E.EX.GEN.GEN.1270</t>
  </si>
  <si>
    <t>Specialist Systems</t>
  </si>
  <si>
    <t>Waterproofing</t>
  </si>
  <si>
    <t>Roof Waterproofing</t>
  </si>
  <si>
    <t>Shop Drawings | Specialist Systems | Waterproofing | Roof Waterproofing | Main Building</t>
  </si>
  <si>
    <t>QP.E.AF.MBL.GEN.6060</t>
  </si>
  <si>
    <t>Water Proofing - Roof - Blade 5</t>
  </si>
  <si>
    <t>Shop Drawings | Specialist Systems | Waterproofing | Roof Waterproofing | Blades | Water Proofing - Roof - Blade 5</t>
  </si>
  <si>
    <t>QP.E.AF.BL5.GEN.6180</t>
  </si>
  <si>
    <t>Water Proofing - Roof - Blade 4</t>
  </si>
  <si>
    <t>Shop Drawings | Specialist Systems | Waterproofing | Roof Waterproofing | Blades | Water Proofing - Roof - Blade 4</t>
  </si>
  <si>
    <t>QP.E.AF.BL4.GEN.6160</t>
  </si>
  <si>
    <t>Water Proofing - Roof - Blade 3</t>
  </si>
  <si>
    <t>Shop Drawings | Specialist Systems | Waterproofing | Roof Waterproofing | Blades | Water Proofing - Roof - Blade 3</t>
  </si>
  <si>
    <t>QP.E.AF.BL3.GEN.6140</t>
  </si>
  <si>
    <t>Water Proofing - Roof - Blade 1</t>
  </si>
  <si>
    <t>Shop Drawings | Specialist Systems | Waterproofing | Roof Waterproofing | Blades | Water Proofing - Roof - Blade 1</t>
  </si>
  <si>
    <t>QP.E.AF.BL1.GEN.6100</t>
  </si>
  <si>
    <t>Water Proofing - Roof - Blade 2</t>
  </si>
  <si>
    <t>Shop Drawings | Specialist Systems | Waterproofing | Roof Waterproofing | Blades | Water Proofing - Roof - Blade 2</t>
  </si>
  <si>
    <t>QP.E.AF.BL2.GEN.6120</t>
  </si>
  <si>
    <t>Wet Areas</t>
  </si>
  <si>
    <t>Shop Drawings | Specialist Systems | Waterproofing | Wet Areas | Main Building</t>
  </si>
  <si>
    <t>QP.E.AF.MBL.GEN.4400</t>
  </si>
  <si>
    <t>Doors/ Openings</t>
  </si>
  <si>
    <t>Shop Drawings | Specialist Systems | Doors/ Openings | Main Building</t>
  </si>
  <si>
    <t>QP.E.AF.MBL.GEN.1140</t>
  </si>
  <si>
    <t>Shop Drawings | Specialist Systems | Doors/ Openings | Blades | Blade 1</t>
  </si>
  <si>
    <t>QP.E.AF.BL1.GEN.1130</t>
  </si>
  <si>
    <t>Shop Drawings | Specialist Systems | Doors/ Openings | Blades | Blade 2</t>
  </si>
  <si>
    <t>QP.E.AF.BL2.GEN.1100</t>
  </si>
  <si>
    <t>Shop Drawings | Specialist Systems | Doors/ Openings | Blades | Blade 3</t>
  </si>
  <si>
    <t>QP.E.AF.BL3.GEN.1020</t>
  </si>
  <si>
    <t>Shop Drawings | Specialist Systems | Doors/ Openings | Blades | Blade 4</t>
  </si>
  <si>
    <t>QP.E.AF.BL4.GEN.1230</t>
  </si>
  <si>
    <t>Shop Drawings | Specialist Systems | Doors/ Openings | Blades | Blade 5</t>
  </si>
  <si>
    <t>QP.E.AF.BL5.GEN.2320</t>
  </si>
  <si>
    <t>Shop Drawings | Specialist Systems | Doors/ Openings | Amphitheatre</t>
  </si>
  <si>
    <t>QP.E.AF.MBL.GEN.4060</t>
  </si>
  <si>
    <t>Conveying System</t>
  </si>
  <si>
    <t>Waste Management</t>
  </si>
  <si>
    <t>Shop Drawings | Specialist Systems | Conveying System | Waste Management</t>
  </si>
  <si>
    <t>QP.E.CY.GEN.GEN.1280</t>
  </si>
  <si>
    <t>Escalators</t>
  </si>
  <si>
    <t>Shop Drawings | Specialist Systems | Conveying System | Escalators</t>
  </si>
  <si>
    <t>QP.E.CY.GEN.GEN.1040</t>
  </si>
  <si>
    <t>Elevators (Public / Freight / Service / Wheel Chair Platform / Platform Lift)</t>
  </si>
  <si>
    <t>Shop Drawings | Specialist Systems | Conveying System | Elevators (Public / Freight / Service / Wheel Chair Platform / Platform Lift)</t>
  </si>
  <si>
    <t>QP.E.CY.GEN.GEN.1020</t>
  </si>
  <si>
    <t>Truck Elevators</t>
  </si>
  <si>
    <t>Shop Drawings | Specialist Systems | Conveying System | Truck Elevators</t>
  </si>
  <si>
    <t>QP.E.CY.GEN.GEN.1000</t>
  </si>
  <si>
    <t>Inclined Elevators</t>
  </si>
  <si>
    <t>Shop Drawings | Specialist Systems | Conveying System | Inclined Elevators</t>
  </si>
  <si>
    <t>QP.E.CY.GEN.GEN.1050</t>
  </si>
  <si>
    <t>BMU</t>
  </si>
  <si>
    <t>Shop Drawings | Specialist Systems | Conveying System | BMU | Main Building</t>
  </si>
  <si>
    <t>QP.E.CY.GEN.GEN.1090</t>
  </si>
  <si>
    <t>Shop Drawings | Specialist Systems | Conveying System | BMU | Blades | Blade 1</t>
  </si>
  <si>
    <t>QP.E.CY.GEN.GEN.1130</t>
  </si>
  <si>
    <t>Shop Drawings | Specialist Systems | Conveying System | BMU | Blades | Blade 2</t>
  </si>
  <si>
    <t>QP.E.CY.GEN.GEN.1170</t>
  </si>
  <si>
    <t>Balde 3</t>
  </si>
  <si>
    <t>Shop Drawings | Specialist Systems | Conveying System | BMU | Blades | Balde 3</t>
  </si>
  <si>
    <t>QP.E.CY.GEN.GEN.1210</t>
  </si>
  <si>
    <t>Shop Drawings | Specialist Systems | Conveying System | BMU | Blades | Blade 4</t>
  </si>
  <si>
    <t>QP.E.CY.GEN.GEN.1110</t>
  </si>
  <si>
    <t>Balde 5</t>
  </si>
  <si>
    <t>Shop Drawings | Specialist Systems | Conveying System | BMU | Blades | Balde 5</t>
  </si>
  <si>
    <t>QP.E.CY.GEN.GEN.1150</t>
  </si>
  <si>
    <t>Joinery Works</t>
  </si>
  <si>
    <t>Shop Drawings | Specialist Systems | Joinery Works | Main Building</t>
  </si>
  <si>
    <t>QP.E.AF.MBL.GEN.5540</t>
  </si>
  <si>
    <t>Shop Drawings | Specialist Systems | Joinery Works | Blades | Blade 1</t>
  </si>
  <si>
    <t>QP.E.AF.BL1.GEN.6120</t>
  </si>
  <si>
    <t>Shop Drawings | Specialist Systems | Joinery Works | Blades | Blade 3</t>
  </si>
  <si>
    <t>QP.E.AF.BL3.GEN.6160</t>
  </si>
  <si>
    <t>Shop Drawings | Specialist Systems | Joinery Works | Blades | Blade 4</t>
  </si>
  <si>
    <t>QP.E.AF.BL4.GEN.6180</t>
  </si>
  <si>
    <t>Shop Drawings | Specialist Systems | Joinery Works | Blades | Blade 5</t>
  </si>
  <si>
    <t>QP.E.AF.BL5.GEN.6200</t>
  </si>
  <si>
    <t>Kitchen and Laundary</t>
  </si>
  <si>
    <t>Shop Drawings | Specialist Systems | Kitchen and Laundary</t>
  </si>
  <si>
    <t>QP.E.AF.MBL.GEN.5500</t>
  </si>
  <si>
    <t>Water Features</t>
  </si>
  <si>
    <t>Shop Drawings | Specialist Systems | Water Features</t>
  </si>
  <si>
    <t>QP.E.AF.MBL.GEN.6100</t>
  </si>
  <si>
    <t>MEP</t>
  </si>
  <si>
    <t>MEP Early Package and Builder's Work</t>
  </si>
  <si>
    <t>Mechanical</t>
  </si>
  <si>
    <t>Shop Drawings | MEP | Main Building | MEP Early Package and Builder's Work | B3 PROMENADE LEVEL +887.750M | Mechanical</t>
  </si>
  <si>
    <t>QP.E.ME.MBL.GEN.6780</t>
  </si>
  <si>
    <t>Electrical</t>
  </si>
  <si>
    <t>Shop Drawings | MEP | Main Building | MEP Early Package and Builder's Work | B3 PROMENADE LEVEL +887.750M | Electrical</t>
  </si>
  <si>
    <t>QP.E.ME.MBL.GEN.6800</t>
  </si>
  <si>
    <t>Shop Drawings | MEP | Main Building | MEP Early Package and Builder's Work | B2 SERVICE LEVEL +893.50M | Mechanical</t>
  </si>
  <si>
    <t>QP.E.ME.MBL.GEN.6840</t>
  </si>
  <si>
    <t>Shop Drawings | MEP | Main Building | MEP Early Package and Builder's Work | B2 SERVICE LEVEL +893.50M | Electrical</t>
  </si>
  <si>
    <t>QP.E.ME.MBL.GEN.6850</t>
  </si>
  <si>
    <t>Shop Drawings | MEP | Main Building | MEP Early Package and Builder's Work | B1 SERVICE LEVEL +900.50M | Mechanical</t>
  </si>
  <si>
    <t>QP.E.ME.MBL.GEN.6860</t>
  </si>
  <si>
    <t>Shop Drawings | MEP | Main Building | MEP Early Package and Builder's Work | B1 SERVICE LEVEL +900.50M | Electrical</t>
  </si>
  <si>
    <t>QP.E.ME.MBL.GEN.6870</t>
  </si>
  <si>
    <t>Shop Drawings | MEP | Main Building | MEP Early Package and Builder's Work | L1 LOBBY LEVEL +905.00M | Mechanical</t>
  </si>
  <si>
    <t>QP.E.ME.MBL.GEN.6900</t>
  </si>
  <si>
    <t>Shop Drawings | MEP | Main Building | MEP Early Package and Builder's Work | L1 LOBBY LEVEL +905.00M | Electrical</t>
  </si>
  <si>
    <t>QP.E.ME.MBL.GEN.6910</t>
  </si>
  <si>
    <t>Shop Drawings | MEP | Main Building | MEP Early Package and Builder's Work | L1 UPEER LOBBY LEVEL MEZZANINE +909M | Mechanical</t>
  </si>
  <si>
    <t>QP.E.ME.MBL.GEN.6940</t>
  </si>
  <si>
    <t>Shop Drawings | MEP | Main Building | MEP Early Package and Builder's Work | L1 UPEER LOBBY LEVEL MEZZANINE +909M | Electrical</t>
  </si>
  <si>
    <t>QP.E.ME.MBL.GEN.6950</t>
  </si>
  <si>
    <t>Shop Drawings | MEP | Main Building | MEP Early Package and Builder's Work | L2 THEATRE STALLS +913M | Mechanical</t>
  </si>
  <si>
    <t>QP.E.ME.MBL.GEN.6980</t>
  </si>
  <si>
    <t>Shop Drawings | MEP | Main Building | MEP Early Package and Builder's Work | L2 THEATRE STALLS +913M | Electrical</t>
  </si>
  <si>
    <t>QP.E.ME.MBL.GEN.6990</t>
  </si>
  <si>
    <t>Shop Drawings | MEP | Main Building | MEP Early Package and Builder's Work | L3 STALL MEZZ AND ADAPTIVE THEATRE +917.50M | Mechanical</t>
  </si>
  <si>
    <t>QP.E.ME.MBL.GEN.7020</t>
  </si>
  <si>
    <t>Shop Drawings | MEP | Main Building | MEP Early Package and Builder's Work | L3 STALL MEZZ AND ADAPTIVE THEATRE +917.50M | Electrical</t>
  </si>
  <si>
    <t>QP.E.ME.MBL.GEN.7030</t>
  </si>
  <si>
    <t>Shop Drawings | MEP | Main Building | MEP Early Package and Builder's Work | L4 FIRST CIRCLE AND ADAPTIVE THEATRE +921.00M | Mechanical</t>
  </si>
  <si>
    <t>QP.E.ME.MBL.GEN.7060</t>
  </si>
  <si>
    <t>Shop Drawings | MEP | Main Building | MEP Early Package and Builder's Work | L4 FIRST CIRCLE AND ADAPTIVE THEATRE +921.00M | Electrical</t>
  </si>
  <si>
    <t>QP.E.ME.MBL.GEN.7070</t>
  </si>
  <si>
    <t>Shop Drawings | MEP | Main Building | MEP Early Package and Builder's Work | L5 SECOND CIRCLE AND LOFT +928.00M | Mechanical</t>
  </si>
  <si>
    <t>QP.E.ME.MBL.GEN.7100</t>
  </si>
  <si>
    <t>Shop Drawings | MEP | Main Building | MEP Early Package and Builder's Work | L5 SECOND CIRCLE AND LOFT +928.00M | Electrical</t>
  </si>
  <si>
    <t>QP.E.ME.MBL.GEN.7110</t>
  </si>
  <si>
    <t>Shop Drawings | MEP | Main Building | MEP Early Package and Builder's Work | L5 LOFT MEP MEZZANINE +931.70M | Mechanical</t>
  </si>
  <si>
    <t>QP.E.ME.MBL.GEN.7140</t>
  </si>
  <si>
    <t>Shop Drawings | MEP | Main Building | MEP Early Package and Builder's Work | L5 LOFT MEP MEZZANINE +931.70M | Electrical</t>
  </si>
  <si>
    <t>QP.E.ME.MBL.GEN.7150</t>
  </si>
  <si>
    <t>Shop Drawings | MEP | Main Building | MEP Early Package and Builder's Work | L6 SKY GARDEN +935.85M | Mechanical</t>
  </si>
  <si>
    <t>QP.E.ME.MBL.GEN.7180</t>
  </si>
  <si>
    <t>Shop Drawings | MEP | Main Building | MEP Early Package and Builder's Work | L6 SKY GARDEN +935.85M | Electrical</t>
  </si>
  <si>
    <t>QP.E.ME.MBL.GEN.7190</t>
  </si>
  <si>
    <t>Shop Drawings | MEP | Main Building | MEP Early Package and Builder's Work | L8 ROYAL MAJLIS +948.28M | Mechanical</t>
  </si>
  <si>
    <t>QP.E.ME.MBL.GEN.7220</t>
  </si>
  <si>
    <t>Shop Drawings | MEP | Main Building | MEP Early Package and Builder's Work | L8 ROYAL MAJLIS +948.28M | Electrical</t>
  </si>
  <si>
    <t>QP.E.ME.MBL.GEN.7230</t>
  </si>
  <si>
    <t>MEP 1st Deliverables</t>
  </si>
  <si>
    <t>Fire Suppression</t>
  </si>
  <si>
    <t>Shop Drawings | MEP | Main Building | MEP 1st Deliverables | B3 PROMENADE LEVEL +887.750M | Fire Suppression</t>
  </si>
  <si>
    <t>QP.E.ME.MBL.GEN.1320</t>
  </si>
  <si>
    <t>Drainage &amp; Plumbing</t>
  </si>
  <si>
    <t>Shop Drawings | MEP | Main Building | MEP 1st Deliverables | B3 PROMENADE LEVEL +887.750M | Drainage &amp; Plumbing</t>
  </si>
  <si>
    <t>QP.E.ME.MBL.GEN.1330</t>
  </si>
  <si>
    <t>HVAC, Chilled Water, Ventilation</t>
  </si>
  <si>
    <t>Shop Drawings | MEP | Main Building | MEP 1st Deliverables | B3 PROMENADE LEVEL +887.750M | HVAC, Chilled Water, Ventilation</t>
  </si>
  <si>
    <t>QP.E.ME.MBL.GEN.1340</t>
  </si>
  <si>
    <t>Electrical (Electrical Containment, Small Power, Lighting)</t>
  </si>
  <si>
    <t>Shop Drawings | MEP | Main Building | MEP 1st Deliverables | B3 PROMENADE LEVEL +887.750M | Electrical (Electrical Containment, Small Power, Lighting)</t>
  </si>
  <si>
    <t>QP.E.ME.MBL.GEN.1350</t>
  </si>
  <si>
    <t>ICT Containment</t>
  </si>
  <si>
    <t>Shop Drawings | MEP | Main Building | MEP 1st Deliverables | B3 PROMENADE LEVEL +887.750M | ICT Containment</t>
  </si>
  <si>
    <t>QP.E.ME.MBL.GEN.1360</t>
  </si>
  <si>
    <t>Shop Drawings | MEP | Main Building | MEP 1st Deliverables | B2 SERVICE LEVEL +893.50M | Fire Suppression</t>
  </si>
  <si>
    <t>QP.E.ME.MBL.GEN.1420</t>
  </si>
  <si>
    <t>Shop Drawings | MEP | Main Building | MEP 1st Deliverables | B2 SERVICE LEVEL +893.50M | Drainage &amp; Plumbing</t>
  </si>
  <si>
    <t>QP.E.ME.MBL.GEN.1430</t>
  </si>
  <si>
    <t>Shop Drawings | MEP | Main Building | MEP 1st Deliverables | B2 SERVICE LEVEL +893.50M | HVAC, Chilled Water, Ventilation</t>
  </si>
  <si>
    <t>QP.E.ME.MBL.GEN.1440</t>
  </si>
  <si>
    <t>Shop Drawings | MEP | Main Building | MEP 1st Deliverables | B2 SERVICE LEVEL +893.50M | Electrical (Electrical Containment, Small Power, Lighting)</t>
  </si>
  <si>
    <t>QP.E.ME.MBL.GEN.1450</t>
  </si>
  <si>
    <t>Shop Drawings | MEP | Main Building | MEP 1st Deliverables | B2 SERVICE LEVEL +893.50M | ICT Containment</t>
  </si>
  <si>
    <t>QP.E.ME.MBL.GEN.1460</t>
  </si>
  <si>
    <t>Shop Drawings | MEP | Main Building | MEP 1st Deliverables | B1 SERVICE LEVEL +900.50M | Fire Suppression</t>
  </si>
  <si>
    <t>QP.E.ME.MBL.GEN.1740</t>
  </si>
  <si>
    <t>Shop Drawings | MEP | Main Building | MEP 1st Deliverables | B1 SERVICE LEVEL +900.50M | Drainage &amp; Plumbing</t>
  </si>
  <si>
    <t>QP.E.ME.MBL.GEN.1750</t>
  </si>
  <si>
    <t>Shop Drawings | MEP | Main Building | MEP 1st Deliverables | B1 SERVICE LEVEL +900.50M | HVAC, Chilled Water, Ventilation</t>
  </si>
  <si>
    <t>QP.E.ME.MBL.GEN.1760</t>
  </si>
  <si>
    <t>Shop Drawings | MEP | Main Building | MEP 1st Deliverables | B1 SERVICE LEVEL +900.50M | Electrical (Electrical Containment, Small Power, Lighting)</t>
  </si>
  <si>
    <t>QP.E.ME.MBL.GEN.1770</t>
  </si>
  <si>
    <t>Shop Drawings | MEP | Main Building | MEP 1st Deliverables | B1 SERVICE LEVEL +900.50M | ICT Containment</t>
  </si>
  <si>
    <t>QP.E.ME.MBL.GEN.1780</t>
  </si>
  <si>
    <t>Shop Drawings | MEP | Main Building | MEP 1st Deliverables | L1 LOBBY LEVEL +905.00M | Fire Suppression</t>
  </si>
  <si>
    <t>QP.E.ME.MBL.GEN.1590</t>
  </si>
  <si>
    <t>Shop Drawings | MEP | Main Building | MEP 1st Deliverables | L1 LOBBY LEVEL +905.00M | Drainage &amp; Plumbing</t>
  </si>
  <si>
    <t>QP.E.ME.MBL.GEN.1600</t>
  </si>
  <si>
    <t>Shop Drawings | MEP | Main Building | MEP 1st Deliverables | L1 LOBBY LEVEL +905.00M | HVAC, Chilled Water, Ventilation</t>
  </si>
  <si>
    <t>QP.E.ME.MBL.GEN.1610</t>
  </si>
  <si>
    <t>Shop Drawings | MEP | Main Building | MEP 1st Deliverables | L1 LOBBY LEVEL +905.00M | Electrical (Electrical Containment, Small Power, Lighting)</t>
  </si>
  <si>
    <t>QP.E.ME.MBL.GEN.1620</t>
  </si>
  <si>
    <t>Shop Drawings | MEP | Main Building | MEP 1st Deliverables | L1 LOBBY LEVEL +905.00M | ICT Containment</t>
  </si>
  <si>
    <t>QP.E.ME.MBL.GEN.1630</t>
  </si>
  <si>
    <t>Shop Drawings | MEP | Main Building | MEP 1st Deliverables | L1 UPEER LOBBY LEVEL MEZZANINE +909M | Fire Suppression</t>
  </si>
  <si>
    <t>QP.E.ME.MBL.GEN.2040</t>
  </si>
  <si>
    <t>Shop Drawings | MEP | Main Building | MEP 1st Deliverables | L1 UPEER LOBBY LEVEL MEZZANINE +909M | Drainage &amp; Plumbing</t>
  </si>
  <si>
    <t>QP.E.ME.MBL.GEN.2050</t>
  </si>
  <si>
    <t>Shop Drawings | MEP | Main Building | MEP 1st Deliverables | L1 UPEER LOBBY LEVEL MEZZANINE +909M | HVAC, Chilled Water, Ventilation</t>
  </si>
  <si>
    <t>QP.E.ME.MBL.GEN.2060</t>
  </si>
  <si>
    <t>Shop Drawings | MEP | Main Building | MEP 1st Deliverables | L1 UPEER LOBBY LEVEL MEZZANINE +909M | Electrical (Electrical Containment, Small Power, Lighting)</t>
  </si>
  <si>
    <t>QP.E.ME.MBL.GEN.2070</t>
  </si>
  <si>
    <t>Shop Drawings | MEP | Main Building | MEP 1st Deliverables | L1 UPEER LOBBY LEVEL MEZZANINE +909M | ICT Containment</t>
  </si>
  <si>
    <t>QP.E.ME.MBL.GEN.2080</t>
  </si>
  <si>
    <t>Shop Drawings | MEP | Main Building | MEP 1st Deliverables | L2 THEATRE STALLS +913M | Fire Suppression</t>
  </si>
  <si>
    <t>QP.E.ME.MBL.GEN.2240</t>
  </si>
  <si>
    <t>Shop Drawings | MEP | Main Building | MEP 1st Deliverables | L2 THEATRE STALLS +913M | Drainage &amp; Plumbing</t>
  </si>
  <si>
    <t>QP.E.ME.MBL.GEN.2250</t>
  </si>
  <si>
    <t>Shop Drawings | MEP | Main Building | MEP 1st Deliverables | L2 THEATRE STALLS +913M | HVAC, Chilled Water, Ventilation</t>
  </si>
  <si>
    <t>QP.E.ME.MBL.GEN.2260</t>
  </si>
  <si>
    <t>Shop Drawings | MEP | Main Building | MEP 1st Deliverables | L2 THEATRE STALLS +913M | Electrical (Electrical Containment, Small Power, Lighting)</t>
  </si>
  <si>
    <t>QP.E.ME.MBL.GEN.2270</t>
  </si>
  <si>
    <t>Shop Drawings | MEP | Main Building | MEP 1st Deliverables | L2 THEATRE STALLS +913M | ICT Containment</t>
  </si>
  <si>
    <t>QP.E.ME.MBL.GEN.2280</t>
  </si>
  <si>
    <t>Shop Drawings | MEP | Main Building | MEP 1st Deliverables | L3 STALL MEZZ AND ADAPTIVE THEATRE +917.50M | Fire Suppression</t>
  </si>
  <si>
    <t>QP.E.ME.MBL.GEN.2440</t>
  </si>
  <si>
    <t>Shop Drawings | MEP | Main Building | MEP 1st Deliverables | L3 STALL MEZZ AND ADAPTIVE THEATRE +917.50M | Drainage &amp; Plumbing</t>
  </si>
  <si>
    <t>QP.E.ME.MBL.GEN.2450</t>
  </si>
  <si>
    <t>Shop Drawings | MEP | Main Building | MEP 1st Deliverables | L3 STALL MEZZ AND ADAPTIVE THEATRE +917.50M | HVAC, Chilled Water, Ventilation</t>
  </si>
  <si>
    <t>QP.E.ME.MBL.GEN.2460</t>
  </si>
  <si>
    <t>Shop Drawings | MEP | Main Building | MEP 1st Deliverables | L3 STALL MEZZ AND ADAPTIVE THEATRE +917.50M | Electrical (Electrical Containment, Small Power, Lighting)</t>
  </si>
  <si>
    <t>QP.E.ME.MBL.GEN.2470</t>
  </si>
  <si>
    <t>Shop Drawings | MEP | Main Building | MEP 1st Deliverables | L3 STALL MEZZ AND ADAPTIVE THEATRE +917.50M | ICT Containment</t>
  </si>
  <si>
    <t>QP.E.ME.MBL.GEN.2480</t>
  </si>
  <si>
    <t>Shop Drawings | MEP | Main Building | MEP 1st Deliverables | L4 FIRST CIRCLE AND ADAPTIVE THEATRE +921.00M | Fire Suppression</t>
  </si>
  <si>
    <t>QP.E.ME.MBL.GEN.2640</t>
  </si>
  <si>
    <t>Shop Drawings | MEP | Main Building | MEP 1st Deliverables | L4 FIRST CIRCLE AND ADAPTIVE THEATRE +921.00M | Drainage &amp; Plumbing</t>
  </si>
  <si>
    <t>QP.E.ME.MBL.GEN.2650</t>
  </si>
  <si>
    <t>Shop Drawings | MEP | Main Building | MEP 1st Deliverables | L4 FIRST CIRCLE AND ADAPTIVE THEATRE +921.00M | HVAC, Chilled Water, Ventilation</t>
  </si>
  <si>
    <t>QP.E.ME.MBL.GEN.2660</t>
  </si>
  <si>
    <t>Shop Drawings | MEP | Main Building | MEP 1st Deliverables | L4 FIRST CIRCLE AND ADAPTIVE THEATRE +921.00M | Electrical (Electrical Containment, Small Power, Lighting)</t>
  </si>
  <si>
    <t>QP.E.ME.MBL.GEN.2670</t>
  </si>
  <si>
    <t>Shop Drawings | MEP | Main Building | MEP 1st Deliverables | L4 FIRST CIRCLE AND ADAPTIVE THEATRE +921.00M | ICT Containment</t>
  </si>
  <si>
    <t>QP.E.ME.MBL.GEN.2680</t>
  </si>
  <si>
    <t>Shop Drawings | MEP | Main Building | MEP 1st Deliverables | L5 SECOND CIRCLE AND LOFT +928.00M | Fire Suppression</t>
  </si>
  <si>
    <t>QP.E.ME.MBL.GEN.2850</t>
  </si>
  <si>
    <t>Shop Drawings | MEP | Main Building | MEP 1st Deliverables | L5 SECOND CIRCLE AND LOFT +928.00M | Drainage &amp; Plumbing</t>
  </si>
  <si>
    <t>QP.E.ME.MBL.GEN.2860</t>
  </si>
  <si>
    <t>Shop Drawings | MEP | Main Building | MEP 1st Deliverables | L5 SECOND CIRCLE AND LOFT +928.00M | HVAC, Chilled Water, Ventilation</t>
  </si>
  <si>
    <t>QP.E.ME.MBL.GEN.2870</t>
  </si>
  <si>
    <t>Shop Drawings | MEP | Main Building | MEP 1st Deliverables | L5 SECOND CIRCLE AND LOFT +928.00M | Electrical (Electrical Containment, Small Power, Lighting)</t>
  </si>
  <si>
    <t>QP.E.ME.MBL.GEN.2880</t>
  </si>
  <si>
    <t>Shop Drawings | MEP | Main Building | MEP 1st Deliverables | L5 SECOND CIRCLE AND LOFT +928.00M | ICT Containment</t>
  </si>
  <si>
    <t>QP.E.ME.MBL.GEN.2890</t>
  </si>
  <si>
    <t>Shop Drawings | MEP | Main Building | MEP 1st Deliverables | L5 LOFT MEP MEZZANINE +931.70M | Fire Suppression</t>
  </si>
  <si>
    <t>QP.E.ME.MBL.GEN.3070</t>
  </si>
  <si>
    <t>Shop Drawings | MEP | Main Building | MEP 1st Deliverables | L5 LOFT MEP MEZZANINE +931.70M | Drainage &amp; Plumbing</t>
  </si>
  <si>
    <t>QP.E.ME.MBL.GEN.3080</t>
  </si>
  <si>
    <t>Shop Drawings | MEP | Main Building | MEP 1st Deliverables | L5 LOFT MEP MEZZANINE +931.70M | HVAC, Chilled Water, Ventilation</t>
  </si>
  <si>
    <t>QP.E.ME.MBL.GEN.3090</t>
  </si>
  <si>
    <t>Shop Drawings | MEP | Main Building | MEP 1st Deliverables | L5 LOFT MEP MEZZANINE +931.70M | Electrical (Electrical Containment, Small Power, Lighting)</t>
  </si>
  <si>
    <t>QP.E.ME.MBL.GEN.3100</t>
  </si>
  <si>
    <t>Shop Drawings | MEP | Main Building | MEP 1st Deliverables | L5 LOFT MEP MEZZANINE +931.70M | ICT Containment</t>
  </si>
  <si>
    <t>QP.E.ME.MBL.GEN.3110</t>
  </si>
  <si>
    <t>Shop Drawings | MEP | Main Building | MEP 1st Deliverables | L6 SKY GARDEN +935.85M | Fire Suppression</t>
  </si>
  <si>
    <t>QP.E.ME.MBL.GEN.3290</t>
  </si>
  <si>
    <t>Shop Drawings | MEP | Main Building | MEP 1st Deliverables | L6 SKY GARDEN +935.85M | Drainage &amp; Plumbing</t>
  </si>
  <si>
    <t>QP.E.ME.MBL.GEN.3300</t>
  </si>
  <si>
    <t>Shop Drawings | MEP | Main Building | MEP 1st Deliverables | L6 SKY GARDEN +935.85M | HVAC, Chilled Water, Ventilation</t>
  </si>
  <si>
    <t>QP.E.ME.MBL.GEN.3310</t>
  </si>
  <si>
    <t>Shop Drawings | MEP | Main Building | MEP 1st Deliverables | L6 SKY GARDEN +935.85M | Electrical (Electrical Containment, Small Power, Lighting)</t>
  </si>
  <si>
    <t>QP.E.ME.MBL.GEN.3320</t>
  </si>
  <si>
    <t>Shop Drawings | MEP | Main Building | MEP 1st Deliverables | L6 SKY GARDEN +935.85M | ICT Containment</t>
  </si>
  <si>
    <t>QP.E.ME.MBL.GEN.3330</t>
  </si>
  <si>
    <t>Shop Drawings | MEP | Main Building | MEP 1st Deliverables | L8 ROYAL MAJLIS +948.28M | Fire Suppression</t>
  </si>
  <si>
    <t>QP.E.ME.MBL.GEN.3500</t>
  </si>
  <si>
    <t>Shop Drawings | MEP | Main Building | MEP 1st Deliverables | L8 ROYAL MAJLIS +948.28M | Drainage &amp; Plumbing</t>
  </si>
  <si>
    <t>QP.E.ME.MBL.GEN.3510</t>
  </si>
  <si>
    <t>Shop Drawings | MEP | Main Building | MEP 1st Deliverables | L8 ROYAL MAJLIS +948.28M | HVAC, Chilled Water, Ventilation</t>
  </si>
  <si>
    <t>QP.E.ME.MBL.GEN.3520</t>
  </si>
  <si>
    <t>Shop Drawings | MEP | Main Building | MEP 1st Deliverables | L8 ROYAL MAJLIS +948.28M | Electrical (Electrical Containment, Small Power, Lighting)</t>
  </si>
  <si>
    <t>QP.E.ME.MBL.GEN.3530</t>
  </si>
  <si>
    <t>Shop Drawings | MEP | Main Building | MEP 1st Deliverables | L8 ROYAL MAJLIS +948.28M | ICT Containment</t>
  </si>
  <si>
    <t>QP.E.ME.MBL.GEN.3540</t>
  </si>
  <si>
    <t>MEP 2nd Deliverables</t>
  </si>
  <si>
    <t>Passive Ssytem</t>
  </si>
  <si>
    <t>Shop Drawings | MEP | Main Building | MEP 2nd Deliverables | Passive Ssytem</t>
  </si>
  <si>
    <t>QP.E.ME.MBL.GEN.5000</t>
  </si>
  <si>
    <t>Smoke Ventilation</t>
  </si>
  <si>
    <t>Shop Drawings | MEP | Main Building | MEP 2nd Deliverables | Smoke Ventilation</t>
  </si>
  <si>
    <t>QP.E.ME.MBL.GEN.5040</t>
  </si>
  <si>
    <t>Electrical (Lighting Control)</t>
  </si>
  <si>
    <t>Shop Drawings | MEP | Main Building | MEP 2nd Deliverables | Electrical (Lighting Control)</t>
  </si>
  <si>
    <t>QP.E.ME.MBL.GEN.5060</t>
  </si>
  <si>
    <t>ICT Network, Emergency Lighting, Fire Alarm</t>
  </si>
  <si>
    <t>Shop Drawings | MEP | Main Building | MEP 2nd Deliverables | ICT Network, Emergency Lighting, Fire Alarm</t>
  </si>
  <si>
    <t>QP.E.ME.MBL.GEN.5080</t>
  </si>
  <si>
    <t>MEP 3rd Deliverables (MEP Systems by Specialists)</t>
  </si>
  <si>
    <t>Mechanical Power</t>
  </si>
  <si>
    <t>Shop Drawings | MEP | Main Building | MEP 3rd Deliverables (MEP Systems by Specialists) | Mechanical Power</t>
  </si>
  <si>
    <t>QP.E.ME.MBL.GEN.7280</t>
  </si>
  <si>
    <t>Audio Visual</t>
  </si>
  <si>
    <t>Shop Drawings | MEP | Main Building | MEP 3rd Deliverables (MEP Systems by Specialists) | Audio Visual</t>
  </si>
  <si>
    <t>QP.E.ME.MBL.GEN.7300</t>
  </si>
  <si>
    <t>Background Music</t>
  </si>
  <si>
    <t>Shop Drawings | MEP | Main Building | MEP 3rd Deliverables (MEP Systems by Specialists) | Background Music</t>
  </si>
  <si>
    <t>QP.E.ME.MBL.GEN.7320</t>
  </si>
  <si>
    <t>Fire Protection NOVEC System</t>
  </si>
  <si>
    <t>Shop Drawings | MEP | Main Building | MEP 3rd Deliverables (MEP Systems by Specialists) | Fire Protection NOVEC System</t>
  </si>
  <si>
    <t>QP.E.ME.MBL.GEN.7260</t>
  </si>
  <si>
    <t>BMS</t>
  </si>
  <si>
    <t>Shop Drawings | MEP | Main Building | MEP 3rd Deliverables (MEP Systems by Specialists) | BMS</t>
  </si>
  <si>
    <t>QP.E.ME.MBL.GEN.7340</t>
  </si>
  <si>
    <t>LPG System</t>
  </si>
  <si>
    <t>Shop Drawings | MEP | Main Building | MEP 3rd Deliverables (MEP Systems by Specialists) | LPG System</t>
  </si>
  <si>
    <t>QP.E.ME.MBL.GEN.5100</t>
  </si>
  <si>
    <t>Security</t>
  </si>
  <si>
    <t>Shop Drawings | MEP | Main Building | MEP 3rd Deliverables (MEP Systems by Specialists) | Security</t>
  </si>
  <si>
    <t>QP.E.ME.MBL.GEN.7360</t>
  </si>
  <si>
    <t>MEP 4th Deliverables</t>
  </si>
  <si>
    <t>Vertical Risers</t>
  </si>
  <si>
    <t>Shop Drawings | MEP | Main Building | MEP 4th Deliverables | Vertical Risers | Fire Suppression</t>
  </si>
  <si>
    <t>QP.E.ME.CBR.GEN.1000</t>
  </si>
  <si>
    <t>Plumbing</t>
  </si>
  <si>
    <t>Shop Drawings | MEP | Main Building | MEP 4th Deliverables | Vertical Risers | Plumbing</t>
  </si>
  <si>
    <t>QP.E.ME.CBR.GEN.1011</t>
  </si>
  <si>
    <t>Shop Drawings | MEP | Main Building | MEP 4th Deliverables | Vertical Risers | LPG System</t>
  </si>
  <si>
    <t>QP.E.ME.CBR.GEN.1055</t>
  </si>
  <si>
    <t>Heating, Ventilating, and Air Conditioning (HVAC)</t>
  </si>
  <si>
    <t>Shop Drawings | MEP | Main Building | MEP 4th Deliverables | Vertical Risers | Heating, Ventilating, and Air Conditioning (HVAC)</t>
  </si>
  <si>
    <t>QP.E.ME.CBR.GEN.1022</t>
  </si>
  <si>
    <t>Shop Drawings | MEP | Main Building | MEP 4th Deliverables | Vertical Risers | Electrical</t>
  </si>
  <si>
    <t>QP.E.ME.CBR.GEN.1033</t>
  </si>
  <si>
    <t>ELV (Low Current System)</t>
  </si>
  <si>
    <t>Shop Drawings | MEP | Main Building | MEP 4th Deliverables | Vertical Risers | ELV (Low Current System)</t>
  </si>
  <si>
    <t>QP.E.ME.CBR.GEN.1044</t>
  </si>
  <si>
    <t>Busway</t>
  </si>
  <si>
    <t>Shop Drawings | MEP | Main Building | MEP 4th Deliverables | Busway</t>
  </si>
  <si>
    <t>QP.E.ME.MBL.GEN.7380</t>
  </si>
  <si>
    <t>Diesel</t>
  </si>
  <si>
    <t>Shop Drawings | MEP | Main Building | MEP 4th Deliverables | Diesel</t>
  </si>
  <si>
    <t>QP.E.ME.MBL.GEN.7420</t>
  </si>
  <si>
    <t>Shop Drawings | MEP | Main Building | MEP 4th Deliverables | Water Features</t>
  </si>
  <si>
    <t>QP.E.ME.MBL.GEN.7440</t>
  </si>
  <si>
    <t>MEP Room</t>
  </si>
  <si>
    <t>Shop Drawings | MEP | Main Building | MEP 4th Deliverables | MEP Room | B3 PROMENADE LEVEL +887.750M</t>
  </si>
  <si>
    <t>QP.E.ME.MBL.GEN.6520</t>
  </si>
  <si>
    <t>Plant Room - Grey Water Treatment/ Sewage</t>
  </si>
  <si>
    <t>Shop Drawings | MEP | Main Building | MEP 4th Deliverables | MEP Room | B3 PROMENADE LEVEL +887.750M | Plant Room - Grey Water Treatment/ Sewage</t>
  </si>
  <si>
    <t>QP.E.ME.MBL.GEN.1050</t>
  </si>
  <si>
    <t>Plant Room - Stromwater/ Drainage</t>
  </si>
  <si>
    <t>Shop Drawings | MEP | Main Building | MEP 4th Deliverables | MEP Room | B3 PROMENADE LEVEL +887.750M | Plant Room - Stromwater/ Drainage</t>
  </si>
  <si>
    <t>QP.E.ME.MBL.GEN.1060</t>
  </si>
  <si>
    <t>Plant Room - Irrigation/ Water Features</t>
  </si>
  <si>
    <t>Shop Drawings | MEP | Main Building | MEP 4th Deliverables | MEP Room | B3 PROMENADE LEVEL +887.750M | Plant Room - Irrigation/ Water Features</t>
  </si>
  <si>
    <t>QP.E.ME.MBL.GEN.1040</t>
  </si>
  <si>
    <t>Shop Drawings | MEP | Main Building | MEP 4th Deliverables | MEP Room | B2 SERVICE LEVEL +893.50M</t>
  </si>
  <si>
    <t>QP.E.ME.MBL.GEN.6540</t>
  </si>
  <si>
    <t>AHU Room</t>
  </si>
  <si>
    <t>Shop Drawings | MEP | Main Building | MEP 4th Deliverables | MEP Room | B2 SERVICE LEVEL +893.50M | AHU Room</t>
  </si>
  <si>
    <t>QP.E.ME.MBL.GEN.1160</t>
  </si>
  <si>
    <t>Transformer/ Switchgear/ Panel Room</t>
  </si>
  <si>
    <t>Shop Drawings | MEP | Main Building | MEP 4th Deliverables | MEP Room | B2 SERVICE LEVEL +893.50M | Transformer/ Switchgear/ Panel Room</t>
  </si>
  <si>
    <t>QP.E.ME.MBL.GEN.1240</t>
  </si>
  <si>
    <t>Generator Room/ Diesel Tank</t>
  </si>
  <si>
    <t>Shop Drawings | MEP | Main Building | MEP 4th Deliverables | MEP Room | B2 SERVICE LEVEL +893.50M | Generator Room/ Diesel Tank</t>
  </si>
  <si>
    <t>QP.E.ME.MBL.GEN.1250</t>
  </si>
  <si>
    <t>ETS/ CWP Room</t>
  </si>
  <si>
    <t>Shop Drawings | MEP | Main Building | MEP 4th Deliverables | MEP Room | B2 SERVICE LEVEL +893.50M | ETS/ CWP Room</t>
  </si>
  <si>
    <t>QP.E.ME.MBL.GEN.1170</t>
  </si>
  <si>
    <t>Shop Drawings | MEP | Main Building | MEP 4th Deliverables | MEP Room | B2 SERVICE LEVEL +893.50M | Plant Room - Irrigation/ Water Features</t>
  </si>
  <si>
    <t>QP.E.ME.MBL.GEN.1030</t>
  </si>
  <si>
    <t>IDF Room</t>
  </si>
  <si>
    <t>Shop Drawings | MEP | Main Building | MEP 4th Deliverables | MEP Room | B2 SERVICE LEVEL +893.50M | IDF Room</t>
  </si>
  <si>
    <t>QP.E.ME.MBL.GEN.1290</t>
  </si>
  <si>
    <t>Shop Drawings | MEP | Main Building | MEP 4th Deliverables | MEP Room | B1 SERVICE LEVEL +900.50M</t>
  </si>
  <si>
    <t>QP.E.ME.MBL.GEN.6560</t>
  </si>
  <si>
    <t>Shop Drawings | MEP | Main Building | MEP 4th Deliverables | MEP Room | B1 SERVICE LEVEL +900.50M | Plant Room - Irrigation/ Water Features</t>
  </si>
  <si>
    <t>QP.E.ME.MBL.GEN.1020</t>
  </si>
  <si>
    <t>Plant Room - Domestic Water</t>
  </si>
  <si>
    <t>Shop Drawings | MEP | Main Building | MEP 4th Deliverables | MEP Room | B1 SERVICE LEVEL +900.50M | Plant Room - Domestic Water</t>
  </si>
  <si>
    <t>QP.E.ME.MBL.GEN.1010</t>
  </si>
  <si>
    <t>Plant Room - Fire Water</t>
  </si>
  <si>
    <t>Shop Drawings | MEP | Main Building | MEP 4th Deliverables | MEP Room | B1 SERVICE LEVEL +900.50M | Plant Room - Fire Water</t>
  </si>
  <si>
    <t>QP.E.ME.MBL.GEN.1000</t>
  </si>
  <si>
    <t>Shop Drawings | MEP | Main Building | MEP 4th Deliverables | MEP Room | B1 SERVICE LEVEL +900.50M | IDF Room</t>
  </si>
  <si>
    <t>QP.E.ME.MBL.GEN.1280</t>
  </si>
  <si>
    <t>Shop Drawings | MEP | Main Building | MEP 4th Deliverables | MEP Room | L1 LOBBY LEVEL +905.00M</t>
  </si>
  <si>
    <t>QP.E.ME.MBL.GEN.6640</t>
  </si>
  <si>
    <t>Shop Drawings | MEP | Main Building | MEP 4th Deliverables | MEP Room | L1 UPEER LOBBY LEVEL MEZZANINE +909M</t>
  </si>
  <si>
    <t>QP.E.ME.MBL.GEN.6660</t>
  </si>
  <si>
    <t>Shop Drawings | MEP | Main Building | MEP 4th Deliverables | MEP Room | L2 THEATRE STALLS +913M</t>
  </si>
  <si>
    <t>QP.E.ME.MBL.GEN.6680</t>
  </si>
  <si>
    <t>Shop Drawings | MEP | Main Building | MEP 4th Deliverables | MEP Room | L3 STALL MEZZ AND ADAPTIVE THEATRE +917.50M</t>
  </si>
  <si>
    <t>QP.E.ME.MBL.GEN.6700</t>
  </si>
  <si>
    <t>Shop Drawings | MEP | Main Building | MEP 4th Deliverables | MEP Room | L4 FIRST CIRCLE AND ADAPTIVE THEATRE +921.00M</t>
  </si>
  <si>
    <t>QP.E.ME.MBL.GEN.6720</t>
  </si>
  <si>
    <t>Shop Drawings | MEP | Main Building | MEP 4th Deliverables | MEP Room | L5 SECOND CIRCLE AND LOFT +928.00M</t>
  </si>
  <si>
    <t>QP.E.ME.MBL.GEN.6740</t>
  </si>
  <si>
    <t>Shop Drawings | MEP | Main Building | MEP 4th Deliverables | MEP Room | L5 LOFT MEP MEZZANINE +931.70M</t>
  </si>
  <si>
    <t>QP.E.ME.MBL.GEN.5540</t>
  </si>
  <si>
    <t>Plant Room - AHU Room</t>
  </si>
  <si>
    <t>Shop Drawings | MEP | Main Building | MEP 4th Deliverables | MEP Room | L5 LOFT MEP MEZZANINE +931.70M | Plant Room - AHU Room</t>
  </si>
  <si>
    <t>QP.E.ME.MBL.GEN.1180</t>
  </si>
  <si>
    <t>Plant Room - Makeup Air Unit and Ecology</t>
  </si>
  <si>
    <t>Shop Drawings | MEP | Main Building | MEP 4th Deliverables | MEP Room | L5 LOFT MEP MEZZANINE +931.70M | Plant Room - Makeup Air Unit and Ecology</t>
  </si>
  <si>
    <t>QP.E.ME.MBL.GEN.1190</t>
  </si>
  <si>
    <t>Plant Room - Sky Garden Irrigation</t>
  </si>
  <si>
    <t>Shop Drawings | MEP | Main Building | MEP 4th Deliverables | MEP Room | L5 LOFT MEP MEZZANINE +931.70M | Plant Room - Sky Garden Irrigation</t>
  </si>
  <si>
    <t>QP.E.ME.MBL.GEN.1070</t>
  </si>
  <si>
    <t>Shop Drawings | MEP | Main Building | MEP 4th Deliverables | MEP Room | L6 SKY GARDEN +935.85M</t>
  </si>
  <si>
    <t>QP.E.ME.MBL.GEN.6760</t>
  </si>
  <si>
    <t>Shop Drawings | MEP | Main Building | MEP 4th Deliverables | MEP Room | L8 ROYAL MAJLIS +948.28M</t>
  </si>
  <si>
    <t>QP.E.ME.MBL.GEN.6580</t>
  </si>
  <si>
    <t>Plant Room - Fan Room</t>
  </si>
  <si>
    <t>Shop Drawings | MEP | Main Building | MEP 4th Deliverables | MEP Room | L8 ROYAL MAJLIS +948.28M | Plant Room - Fan Room</t>
  </si>
  <si>
    <t>QP.E.ME.MBL.GEN.6600</t>
  </si>
  <si>
    <t>Kitchen and Laundry</t>
  </si>
  <si>
    <t>Shop Drawings | MEP | Main Building | MEP 4th Deliverables | Kitchen and Laundry</t>
  </si>
  <si>
    <t>QP.E.ME.MBL.GEN.7400</t>
  </si>
  <si>
    <t>Panels</t>
  </si>
  <si>
    <t>Shop Drawings | MEP | Panels</t>
  </si>
  <si>
    <t>QP.E.ME.MBL.GEN.6510</t>
  </si>
  <si>
    <t>Shop Drawings | MEP | Blades | Blade-1 | MEP Early Package and Builder's Work | BL1 - LEVEL +870.6M to +899.25M | Mechanical</t>
  </si>
  <si>
    <t>QP.E.ME.BL1.GEN.3720</t>
  </si>
  <si>
    <t>Shop Drawings | MEP | Blades | Blade-1 | MEP Early Package and Builder's Work | BL1 - LEVEL +870.6M to +899.25M | Electrical</t>
  </si>
  <si>
    <t>QP.E.ME.BL1.GEN.3740</t>
  </si>
  <si>
    <t>Shop Drawings | MEP | Blades | Blade-1 | MEP Early Package and Builder's Work | BL1 - LEVEL +905.00M to +928.00M | Mechanical</t>
  </si>
  <si>
    <t>QP.E.ME.BL1.GEN.3760</t>
  </si>
  <si>
    <t>Shop Drawings | MEP | Blades | Blade-1 | MEP Early Package and Builder's Work | BL1 - LEVEL +905.00M to +928.00M | Electrical</t>
  </si>
  <si>
    <t>QP.E.ME.BL1.GEN.3780</t>
  </si>
  <si>
    <t>Shop Drawings | MEP | Blades | Blade-1 | MEP Early Package and Builder's Work | BL1 - LEVEL +935.85M to +993.11M | Mechanical</t>
  </si>
  <si>
    <t>QP.E.ME.BL1.GEN.3800</t>
  </si>
  <si>
    <t>Shop Drawings | MEP | Blades | Blade-1 | MEP Early Package and Builder's Work | BL1 - LEVEL +935.85M to +993.11M | Electrical</t>
  </si>
  <si>
    <t>QP.E.ME.BL1.GEN.3820</t>
  </si>
  <si>
    <t>Shop Drawings | MEP | Blades | Blade-1 | MEP 1st Deliverables | BL1 - LEVEL +870.6M to +899.25M | Fire Suppression</t>
  </si>
  <si>
    <t>QP.E.ME.BL1.GEN.1020</t>
  </si>
  <si>
    <t>Shop Drawings | MEP | Blades | Blade-1 | MEP 1st Deliverables | BL1 - LEVEL +870.6M to +899.25M | Drainage &amp; Plumbing</t>
  </si>
  <si>
    <t>QP.E.ME.BL1.GEN.1030</t>
  </si>
  <si>
    <t>Shop Drawings | MEP | Blades | Blade-1 | MEP 1st Deliverables | BL1 - LEVEL +870.6M to +899.25M | HVAC, Chilled Water, Ventilation</t>
  </si>
  <si>
    <t>QP.E.ME.BL1.GEN.1040</t>
  </si>
  <si>
    <t>Shop Drawings | MEP | Blades | Blade-1 | MEP 1st Deliverables | BL1 - LEVEL +870.6M to +899.25M | Electrical (Electrical Containment, Small Power, Lighting)</t>
  </si>
  <si>
    <t>QP.E.ME.BL1.GEN.1050</t>
  </si>
  <si>
    <t>Shop Drawings | MEP | Blades | Blade-1 | MEP 1st Deliverables | BL1 - LEVEL +870.6M to +899.25M | ICT Containment</t>
  </si>
  <si>
    <t>QP.E.ME.BL1.GEN.1060</t>
  </si>
  <si>
    <t>Shop Drawings | MEP | Blades | Blade-1 | MEP 1st Deliverables | BL1 - LEVEL +905.00M to +928.00M | Fire Suppression</t>
  </si>
  <si>
    <t>QP.E.ME.BL1.GEN.2940</t>
  </si>
  <si>
    <t>Shop Drawings | MEP | Blades | Blade-1 | MEP 1st Deliverables | BL1 - LEVEL +905.00M to +928.00M | Drainage &amp; Plumbing</t>
  </si>
  <si>
    <t>QP.E.ME.BL1.GEN.2950</t>
  </si>
  <si>
    <t>Shop Drawings | MEP | Blades | Blade-1 | MEP 1st Deliverables | BL1 - LEVEL +905.00M to +928.00M | HVAC, Chilled Water, Ventilation</t>
  </si>
  <si>
    <t>QP.E.ME.BL1.GEN.2960</t>
  </si>
  <si>
    <t>Shop Drawings | MEP | Blades | Blade-1 | MEP 1st Deliverables | BL1 - LEVEL +905.00M to +928.00M | Electrical (Electrical Containment, Small Power, Lighting)</t>
  </si>
  <si>
    <t>QP.E.ME.BL1.GEN.2970</t>
  </si>
  <si>
    <t>Shop Drawings | MEP | Blades | Blade-1 | MEP 1st Deliverables | BL1 - LEVEL +905.00M to +928.00M | ICT Containment</t>
  </si>
  <si>
    <t>QP.E.ME.BL1.GEN.2980</t>
  </si>
  <si>
    <t>Shop Drawings | MEP | Blades | Blade-1 | MEP 1st Deliverables | BL1 - LEVEL +935.85M to +993.11M | Fire Suppression</t>
  </si>
  <si>
    <t>QP.E.ME.BL1.GEN.1510</t>
  </si>
  <si>
    <t>Shop Drawings | MEP | Blades | Blade-1 | MEP 1st Deliverables | BL1 - LEVEL +935.85M to +993.11M | Drainage &amp; Plumbing</t>
  </si>
  <si>
    <t>QP.E.ME.BL1.GEN.1520</t>
  </si>
  <si>
    <t>Shop Drawings | MEP | Blades | Blade-1 | MEP 1st Deliverables | BL1 - LEVEL +935.85M to +993.11M | HVAC, Chilled Water, Ventilation</t>
  </si>
  <si>
    <t>QP.E.ME.BL1.GEN.1530</t>
  </si>
  <si>
    <t>Shop Drawings | MEP | Blades | Blade-1 | MEP 1st Deliverables | BL1 - LEVEL +935.85M to +993.11M | Electrical (Electrical Containment, Small Power, Lighting)</t>
  </si>
  <si>
    <t>QP.E.ME.BL1.GEN.1540</t>
  </si>
  <si>
    <t>Shop Drawings | MEP | Blades | Blade-1 | MEP 1st Deliverables | BL1 - LEVEL +935.85M to +993.11M | ICT Containment</t>
  </si>
  <si>
    <t>QP.E.ME.BL1.GEN.1550</t>
  </si>
  <si>
    <t>Shop Drawings | MEP | Blades | Blade-1 | MEP 2nd Deliverables | Passive Ssytem</t>
  </si>
  <si>
    <t>QP.E.ME.BL1.GEN.3280</t>
  </si>
  <si>
    <t>Shop Drawings | MEP | Blades | Blade-1 | MEP 2nd Deliverables | Smoke Ventilation</t>
  </si>
  <si>
    <t>QP.E.ME.BL1.GEN.3320</t>
  </si>
  <si>
    <t>Shop Drawings | MEP | Blades | Blade-1 | MEP 2nd Deliverables | Electrical (Lighting Control)</t>
  </si>
  <si>
    <t>QP.E.ME.BL1.GEN.3340</t>
  </si>
  <si>
    <t>Shop Drawings | MEP | Blades | Blade-1 | MEP 2nd Deliverables | ICT Network, Emergency Lighting, Fire Alarm</t>
  </si>
  <si>
    <t>QP.E.ME.BL1.GEN.3360</t>
  </si>
  <si>
    <t>Shop Drawings | MEP | Blades | Blade-1 | MEP 3rd Deliverables (MEP Systems by Specialists) | Mechanical Power</t>
  </si>
  <si>
    <t>QP.E.ME.BL1.GEN.3580</t>
  </si>
  <si>
    <t>Shop Drawings | MEP | Blades | Blade-1 | MEP 3rd Deliverables (MEP Systems by Specialists) | Audio Visual</t>
  </si>
  <si>
    <t>QP.E.ME.BL1.GEN.3600</t>
  </si>
  <si>
    <t>Shop Drawings | MEP | Blades | Blade-1 | MEP 3rd Deliverables (MEP Systems by Specialists) | Background Music</t>
  </si>
  <si>
    <t>QP.E.ME.BL1.GEN.3620</t>
  </si>
  <si>
    <t>Shop Drawings | MEP | Blades | Blade-1 | MEP 3rd Deliverables (MEP Systems by Specialists) | Fire Protection NOVEC System</t>
  </si>
  <si>
    <t>QP.E.ME.BL1.GEN.3680</t>
  </si>
  <si>
    <t>Shop Drawings | MEP | Blades | Blade-1 | MEP 3rd Deliverables (MEP Systems by Specialists) | BMS</t>
  </si>
  <si>
    <t>QP.E.ME.BL1.GEN.3640</t>
  </si>
  <si>
    <t>Shop Drawings | MEP | Blades | Blade-1 | MEP 3rd Deliverables (MEP Systems by Specialists) | Security</t>
  </si>
  <si>
    <t>QP.E.ME.BL1.GEN.3660</t>
  </si>
  <si>
    <t>Shop Drawings | MEP | Blades | Blade-1 | MEP 4th Deliverables | MEP Room</t>
  </si>
  <si>
    <t>QP.E.ME.BL1.GEN.3480</t>
  </si>
  <si>
    <t>Stromwater Tank and Pump</t>
  </si>
  <si>
    <t>Shop Drawings | MEP | Blades | Blade-1 | MEP 4th Deliverables | MEP Room | Stromwater Tank and Pump</t>
  </si>
  <si>
    <t>QP.E.ME.BL1.GEN.1000</t>
  </si>
  <si>
    <t>Shop Drawings | MEP | Blades | Blade-1 | MEP 4th Deliverables | Busway</t>
  </si>
  <si>
    <t>QP.E.ME.BL1.GEN.3700</t>
  </si>
  <si>
    <t>BL2 - LEVEL +876.25M to +899.25M</t>
  </si>
  <si>
    <t>Shop Drawings | MEP | Blades | Blade-2 | MEP Early Package and Builder's Work | BL2 - LEVEL +876.25M to +899.25M | Mechanical</t>
  </si>
  <si>
    <t>QP.E.ME.BL2.GEN.3400</t>
  </si>
  <si>
    <t>Shop Drawings | MEP | Blades | Blade-2 | MEP Early Package and Builder's Work | BL2 - LEVEL +876.25M to +899.25M | Electrical</t>
  </si>
  <si>
    <t>QP.E.ME.BL2.GEN.3420</t>
  </si>
  <si>
    <t>Shop Drawings | MEP | Blades | Blade-2 | MEP Early Package and Builder's Work | BL2 - LEVEL +905.00M to +928.00M | Mechanical</t>
  </si>
  <si>
    <t>QP.E.ME.BL2.GEN.3440</t>
  </si>
  <si>
    <t>Shop Drawings | MEP | Blades | Blade-2 | MEP Early Package and Builder's Work | BL2 - LEVEL +905.00M to +928.00M | Electrical</t>
  </si>
  <si>
    <t>QP.E.ME.BL2.GEN.3460</t>
  </si>
  <si>
    <t>Shop Drawings | MEP | Blades | Blade-2 | MEP Early Package and Builder's Work | BL2 - LEVEL +935.85M to +957.25M | Mechanical</t>
  </si>
  <si>
    <t>QP.E.ME.BL2.GEN.3480</t>
  </si>
  <si>
    <t>Shop Drawings | MEP | Blades | Blade-2 | MEP Early Package and Builder's Work | BL2 - LEVEL +935.85M to +957.25M | Electrical</t>
  </si>
  <si>
    <t>QP.E.ME.BL2.GEN.3500</t>
  </si>
  <si>
    <t>Shop Drawings | MEP | Blades | Blade-2 | MEP 1st Deliverables | BL2 - LEVEL +876.25M to +899.25M | Fire Suppression</t>
  </si>
  <si>
    <t>QP.E.ME.BL2.GEN.1020</t>
  </si>
  <si>
    <t>Shop Drawings | MEP | Blades | Blade-2 | MEP 1st Deliverables | BL2 - LEVEL +876.25M to +899.25M | Drainage &amp; Plumbing</t>
  </si>
  <si>
    <t>QP.E.ME.BL2.GEN.1030</t>
  </si>
  <si>
    <t>Shop Drawings | MEP | Blades | Blade-2 | MEP 1st Deliverables | BL2 - LEVEL +876.25M to +899.25M | HVAC, Chilled Water, Ventilation</t>
  </si>
  <si>
    <t>QP.E.ME.BL2.GEN.1040</t>
  </si>
  <si>
    <t>Shop Drawings | MEP | Blades | Blade-2 | MEP 1st Deliverables | BL2 - LEVEL +876.25M to +899.25M | Electrical (Electrical Containment, Small Power, Lighting)</t>
  </si>
  <si>
    <t>QP.E.ME.BL2.GEN.1050</t>
  </si>
  <si>
    <t>Shop Drawings | MEP | Blades | Blade-2 | MEP 1st Deliverables | BL2 - LEVEL +876.25M to +899.25M | ICT Containment</t>
  </si>
  <si>
    <t>QP.E.ME.BL2.GEN.1060</t>
  </si>
  <si>
    <t>Shop Drawings | MEP | Blades | Blade-2 | MEP 1st Deliverables | BL2 - LEVEL +905.00M to +928.00M | Fire Suppression</t>
  </si>
  <si>
    <t>QP.E.ME.BL2.GEN.1910</t>
  </si>
  <si>
    <t>Shop Drawings | MEP | Blades | Blade-2 | MEP 1st Deliverables | BL2 - LEVEL +905.00M to +928.00M | Drainage &amp; Plumbing</t>
  </si>
  <si>
    <t>QP.E.ME.BL2.GEN.1920</t>
  </si>
  <si>
    <t>Shop Drawings | MEP | Blades | Blade-2 | MEP 1st Deliverables | BL2 - LEVEL +905.00M to +928.00M | HVAC, Chilled Water, Ventilation</t>
  </si>
  <si>
    <t>QP.E.ME.BL2.GEN.1930</t>
  </si>
  <si>
    <t>Shop Drawings | MEP | Blades | Blade-2 | MEP 1st Deliverables | BL2 - LEVEL +905.00M to +928.00M | Electrical (Electrical Containment, Small Power, Lighting)</t>
  </si>
  <si>
    <t>QP.E.ME.BL2.GEN.1940</t>
  </si>
  <si>
    <t>Shop Drawings | MEP | Blades | Blade-2 | MEP 1st Deliverables | BL2 - LEVEL +905.00M to +928.00M | ICT Containment</t>
  </si>
  <si>
    <t>QP.E.ME.BL2.GEN.1950</t>
  </si>
  <si>
    <t>Shop Drawings | MEP | Blades | Blade-2 | MEP 1st Deliverables | BL2 - LEVEL +935.85M to +957.25M | Fire Suppression</t>
  </si>
  <si>
    <t>QP.E.ME.BL2.GEN.2110</t>
  </si>
  <si>
    <t>Shop Drawings | MEP | Blades | Blade-2 | MEP 1st Deliverables | BL2 - LEVEL +935.85M to +957.25M | Drainage &amp; Plumbing</t>
  </si>
  <si>
    <t>QP.E.ME.BL2.GEN.2120</t>
  </si>
  <si>
    <t>Shop Drawings | MEP | Blades | Blade-2 | MEP 1st Deliverables | BL2 - LEVEL +935.85M to +957.25M | HVAC, Chilled Water, Ventilation</t>
  </si>
  <si>
    <t>QP.E.ME.BL2.GEN.2130</t>
  </si>
  <si>
    <t>Shop Drawings | MEP | Blades | Blade-2 | MEP 1st Deliverables | BL2 - LEVEL +935.85M to +957.25M | Electrical (Electrical Containment, Small Power, Lighting)</t>
  </si>
  <si>
    <t>QP.E.ME.BL2.GEN.2140</t>
  </si>
  <si>
    <t>Shop Drawings | MEP | Blades | Blade-2 | MEP 1st Deliverables | BL2 - LEVEL +935.85M to +957.25M | ICT Containment</t>
  </si>
  <si>
    <t>QP.E.ME.BL2.GEN.2150</t>
  </si>
  <si>
    <t>Shop Drawings | MEP | Blades | Blade-2 | MEP 2nd Deliverables | Fire Suppression</t>
  </si>
  <si>
    <t>QP.E.ME.BL2.GEN.3160</t>
  </si>
  <si>
    <t>Shop Drawings | MEP | Blades | Blade-2 | MEP 2nd Deliverables | Smoke Ventilation</t>
  </si>
  <si>
    <t>QP.E.ME.BL2.GEN.3200</t>
  </si>
  <si>
    <t>Shop Drawings | MEP | Blades | Blade-2 | MEP 2nd Deliverables | Electrical (Lighting Control)</t>
  </si>
  <si>
    <t>QP.E.ME.BL2.GEN.3220</t>
  </si>
  <si>
    <t>Shop Drawings | MEP | Blades | Blade-2 | MEP 2nd Deliverables | ICT Network, Emergency Lighting, Fire Alarm</t>
  </si>
  <si>
    <t>QP.E.ME.BL2.GEN.3240</t>
  </si>
  <si>
    <t>Shop Drawings | MEP | Blades | Blade-2 | MEP 3rd Deliverables (MEP Systems by Specialists) | Mechanical Power</t>
  </si>
  <si>
    <t>QP.E.ME.BL2.GEN.3260</t>
  </si>
  <si>
    <t>Shop Drawings | MEP | Blades | Blade-2 | MEP 3rd Deliverables (MEP Systems by Specialists) | Audio Visual</t>
  </si>
  <si>
    <t>QP.E.ME.BL2.GEN.3280</t>
  </si>
  <si>
    <t>Shop Drawings | MEP | Blades | Blade-2 | MEP 3rd Deliverables (MEP Systems by Specialists) | Background Music</t>
  </si>
  <si>
    <t>QP.E.ME.BL2.GEN.3300</t>
  </si>
  <si>
    <t>Shop Drawings | MEP | Blades | Blade-2 | MEP 3rd Deliverables (MEP Systems by Specialists) | Fire Protection NOVEC System</t>
  </si>
  <si>
    <t>QP.E.ME.BL2.GEN.3380</t>
  </si>
  <si>
    <t>Shop Drawings | MEP | Blades | Blade-2 | MEP 3rd Deliverables (MEP Systems by Specialists) | BMS</t>
  </si>
  <si>
    <t>QP.E.ME.BL2.GEN.3320</t>
  </si>
  <si>
    <t>Shop Drawings | MEP | Blades | Blade-2 | MEP 3rd Deliverables (MEP Systems by Specialists) | Security</t>
  </si>
  <si>
    <t>QP.E.ME.BL2.GEN.3340</t>
  </si>
  <si>
    <t>Shop Drawings | MEP | Blades | Blade-2 | MEP 4th Deliverables | MEP Room</t>
  </si>
  <si>
    <t>QP.E.ME.BL1.GEN.3500</t>
  </si>
  <si>
    <t>Shop Drawings | MEP | Blades | Blade-2 | MEP 4th Deliverables | MEP Room | Stromwater Tank and Pump</t>
  </si>
  <si>
    <t>QP.E.ME.BL2.GEN.1000</t>
  </si>
  <si>
    <t>Shop Drawings | MEP | Blades | Blade-2 | MEP 4th Deliverables | Busway</t>
  </si>
  <si>
    <t>QP.E.ME.BL2.GEN.3360</t>
  </si>
  <si>
    <t>Shop Drawings | MEP | Blades | Blade-3 | MEP Early Package and Builder's Work | BL3 - LEVEL +847.5M to +899.25M | Mechanical</t>
  </si>
  <si>
    <t>QP.E.ME.BL3.GEN.3640</t>
  </si>
  <si>
    <t>Shop Drawings | MEP | Blades | Blade-3 | MEP Early Package and Builder's Work | BL3 - LEVEL +847.5M to +899.25M | Electrical</t>
  </si>
  <si>
    <t>QP.E.ME.BL3.GEN.3660</t>
  </si>
  <si>
    <t>Shop Drawings | MEP | Blades | Blade-3 | MEP Early Package and Builder's Work | BL3 - LEVEL +905.00M to +931.1M | Electrical</t>
  </si>
  <si>
    <t>QP.E.ME.BL3.GEN.3700</t>
  </si>
  <si>
    <t>Shop Drawings | MEP | Blades | Blade-3 | MEP Early Package and Builder's Work | BL3 - LEVEL +905.00M to +931.1M | Mechanical</t>
  </si>
  <si>
    <t>QP.E.ME.BL3.GEN.3680</t>
  </si>
  <si>
    <t>Shop Drawings | MEP | Blades | Blade-3 | MEP 1st Deliverables | BL3 - LEVEL +847.5M to +899.25M | Fire Suppression</t>
  </si>
  <si>
    <t>QP.E.ME.BL3.GEN.1020</t>
  </si>
  <si>
    <t>Shop Drawings | MEP | Blades | Blade-3 | MEP 1st Deliverables | BL3 - LEVEL +847.5M to +899.25M | Drainage &amp; Plumbing</t>
  </si>
  <si>
    <t>QP.E.ME.BL3.GEN.1030</t>
  </si>
  <si>
    <t>Shop Drawings | MEP | Blades | Blade-3 | MEP 1st Deliverables | BL3 - LEVEL +847.5M to +899.25M | HVAC, Chilled Water, Ventilation</t>
  </si>
  <si>
    <t>QP.E.ME.BL3.GEN.1040</t>
  </si>
  <si>
    <t>Shop Drawings | MEP | Blades | Blade-3 | MEP 1st Deliverables | BL3 - LEVEL +847.5M to +899.25M | Electrical (Electrical Containment, Small Power, Lighting)</t>
  </si>
  <si>
    <t>QP.E.ME.BL3.GEN.1050</t>
  </si>
  <si>
    <t>Shop Drawings | MEP | Blades | Blade-3 | MEP 1st Deliverables | BL3 - LEVEL +847.5M to +899.25M | ICT Containment</t>
  </si>
  <si>
    <t>QP.E.ME.BL3.GEN.1060</t>
  </si>
  <si>
    <t>Shop Drawings | MEP | Blades | Blade-3 | MEP 1st Deliverables | BL3 - LEVEL +905.00M to +931.1M | Fire Suppression</t>
  </si>
  <si>
    <t>QP.E.ME.BL3.GEN.1790</t>
  </si>
  <si>
    <t>Shop Drawings | MEP | Blades | Blade-3 | MEP 1st Deliverables | BL3 - LEVEL +905.00M to +931.1M | Drainage &amp; Plumbing</t>
  </si>
  <si>
    <t>QP.E.ME.BL3.GEN.3280</t>
  </si>
  <si>
    <t>Shop Drawings | MEP | Blades | Blade-3 | MEP 1st Deliverables | BL3 - LEVEL +905.00M to +931.1M | HVAC, Chilled Water, Ventilation</t>
  </si>
  <si>
    <t>QP.E.ME.BL3.GEN.1810</t>
  </si>
  <si>
    <t>Shop Drawings | MEP | Blades | Blade-3 | MEP 1st Deliverables | BL3 - LEVEL +905.00M to +931.1M | Electrical (Electrical Containment, Small Power, Lighting)</t>
  </si>
  <si>
    <t>QP.E.ME.BL3.GEN.1820</t>
  </si>
  <si>
    <t>Shop Drawings | MEP | Blades | Blade-3 | MEP 1st Deliverables | BL3 - LEVEL +905.00M to +931.1M | ICT Containment</t>
  </si>
  <si>
    <t>QP.E.ME.BL3.GEN.1830</t>
  </si>
  <si>
    <t>Shop Drawings | MEP | Blades | Blade-3 | MEP 2nd Deliverables | Fire Suppression</t>
  </si>
  <si>
    <t>QP.E.ME.BL3.GEN.3400</t>
  </si>
  <si>
    <t>Shop Drawings | MEP | Blades | Blade-3 | MEP 2nd Deliverables | Smoke Ventilation</t>
  </si>
  <si>
    <t>QP.E.ME.BL3.GEN.3440</t>
  </si>
  <si>
    <t>Shop Drawings | MEP | Blades | Blade-3 | MEP 2nd Deliverables | Electrical (Lighting Control)</t>
  </si>
  <si>
    <t>QP.E.ME.BL3.GEN.3460</t>
  </si>
  <si>
    <t>Shop Drawings | MEP | Blades | Blade-3 | MEP 2nd Deliverables | ICT Network, Emergency Lighting, Fire Alarm</t>
  </si>
  <si>
    <t>QP.E.ME.BL3.GEN.3480</t>
  </si>
  <si>
    <t>Shop Drawings | MEP | Blades | Blade-3 | MEP 3rd Deliverables (MEP Systems by Specialists) | Mechanical Power</t>
  </si>
  <si>
    <t>QP.E.ME.BL3.GEN.3500</t>
  </si>
  <si>
    <t>Shop Drawings | MEP | Blades | Blade-3 | MEP 3rd Deliverables (MEP Systems by Specialists) | Audio Visual</t>
  </si>
  <si>
    <t>QP.E.ME.BL3.GEN.3540</t>
  </si>
  <si>
    <t>Shop Drawings | MEP | Blades | Blade-3 | MEP 3rd Deliverables (MEP Systems by Specialists) | Background Music</t>
  </si>
  <si>
    <t>QP.E.ME.BL3.GEN.3560</t>
  </si>
  <si>
    <t>Shop Drawings | MEP | Blades | Blade-3 | MEP 3rd Deliverables (MEP Systems by Specialists) | Fire Protection NOVEC System</t>
  </si>
  <si>
    <t>QP.E.ME.BL3.GEN.3620</t>
  </si>
  <si>
    <t>Shop Drawings | MEP | Blades | Blade-3 | MEP 3rd Deliverables (MEP Systems by Specialists) | BMS</t>
  </si>
  <si>
    <t>QP.E.ME.BL3.GEN.3600</t>
  </si>
  <si>
    <t>Shop Drawings | MEP | Blades | Blade-3 | MEP 3rd Deliverables (MEP Systems by Specialists) | Security</t>
  </si>
  <si>
    <t>QP.E.ME.BL3.GEN.3580</t>
  </si>
  <si>
    <t>Shop Drawings | MEP | Blades | Blade-3 | MEP 4th Deliverables | MEP Room</t>
  </si>
  <si>
    <t>QP.E.ME.BL1.GEN.3520</t>
  </si>
  <si>
    <t>Shop Drawings | MEP | Blades | Blade-3 | MEP 4th Deliverables | MEP Room | Stromwater Tank and Pump</t>
  </si>
  <si>
    <t>QP.E.ME.BL3.GEN.1000</t>
  </si>
  <si>
    <t>Shop Drawings | MEP | Blades | Blade-3 | MEP 4th Deliverables | Busway</t>
  </si>
  <si>
    <t>QP.E.ME.BL3.GEN.3520</t>
  </si>
  <si>
    <t>BL4 - LEVEL +863.85M to +899.25</t>
  </si>
  <si>
    <t>Shop Drawings | MEP | Blades | Blade-4 | MEP Early Package and Builder's Work | BL4 - LEVEL +863.85M to +899.25 | Mechanical</t>
  </si>
  <si>
    <t>QP.E.ME.BL4.GEN.6010</t>
  </si>
  <si>
    <t>Shop Drawings | MEP | Blades | Blade-4 | MEP Early Package and Builder's Work | BL4 - LEVEL +863.85M to +899.25 | Electrical</t>
  </si>
  <si>
    <t>QP.E.ME.BL4.GEN.6030</t>
  </si>
  <si>
    <t>Shop Drawings | MEP | Blades | Blade-4 | MEP Early Package and Builder's Work | BL4 - LEVEL +905M to +928M | Mechanical</t>
  </si>
  <si>
    <t>QP.E.ME.BL4.GEN.6050</t>
  </si>
  <si>
    <t>Shop Drawings | MEP | Blades | Blade-4 | MEP Early Package and Builder's Work | BL4 - LEVEL +905M to +928M | Electrical</t>
  </si>
  <si>
    <t>QP.E.ME.BL4.GEN.6070</t>
  </si>
  <si>
    <t>Shop Drawings | MEP | Blades | Blade-4 | MEP Early Package and Builder's Work | BL4 - LEVEL +935.85M to +975.82M | Mechanical</t>
  </si>
  <si>
    <t>QP.E.ME.BL4.GEN.6090</t>
  </si>
  <si>
    <t>Shop Drawings | MEP | Blades | Blade-4 | MEP Early Package and Builder's Work | BL4 - LEVEL +935.85M to +975.82M | Electrical</t>
  </si>
  <si>
    <t>QP.E.ME.BL4.GEN.6110</t>
  </si>
  <si>
    <t>Shop Drawings | MEP | Blades | Blade-4 | MEP 1st Deliverables | BL4 - LEVEL +863.85M to +899.25 | Fire Suppression</t>
  </si>
  <si>
    <t>QP.E.ME.BL4.GEN.2110</t>
  </si>
  <si>
    <t>Shop Drawings | MEP | Blades | Blade-4 | MEP 1st Deliverables | BL4 - LEVEL +863.85M to +899.25 | Drainage &amp; Plumbing</t>
  </si>
  <si>
    <t>QP.E.ME.BL4.GEN.2120</t>
  </si>
  <si>
    <t>Shop Drawings | MEP | Blades | Blade-4 | MEP 1st Deliverables | BL4 - LEVEL +863.85M to +899.25 | HVAC, Chilled Water, Ventilation</t>
  </si>
  <si>
    <t>QP.E.ME.BL4.GEN.2130</t>
  </si>
  <si>
    <t>Shop Drawings | MEP | Blades | Blade-4 | MEP 1st Deliverables | BL4 - LEVEL +863.85M to +899.25 | Electrical (Electrical Containment, Small Power, Lighting)</t>
  </si>
  <si>
    <t>QP.E.ME.BL4.GEN.2140</t>
  </si>
  <si>
    <t>Shop Drawings | MEP | Blades | Blade-4 | MEP 1st Deliverables | BL4 - LEVEL +863.85M to +899.25 | ICT Containment</t>
  </si>
  <si>
    <t>QP.E.ME.BL4.GEN.2150</t>
  </si>
  <si>
    <t>Shop Drawings | MEP | Blades | Blade-4 | MEP 1st Deliverables | BL4 - LEVEL +905M to +928M | Fire Suppression</t>
  </si>
  <si>
    <t>QP.E.ME.BL4.GEN.2910</t>
  </si>
  <si>
    <t>Shop Drawings | MEP | Blades | Blade-4 | MEP 1st Deliverables | BL4 - LEVEL +905M to +928M | Drainage &amp; Plumbing</t>
  </si>
  <si>
    <t>QP.E.ME.BL4.GEN.5550</t>
  </si>
  <si>
    <t>Shop Drawings | MEP | Blades | Blade-4 | MEP 1st Deliverables | BL4 - LEVEL +905M to +928M | HVAC, Chilled Water, Ventilation</t>
  </si>
  <si>
    <t>QP.E.ME.BL4.GEN.2930</t>
  </si>
  <si>
    <t>Shop Drawings | MEP | Blades | Blade-4 | MEP 1st Deliverables | BL4 - LEVEL +905M to +928M | Electrical (Electrical Containment, Small Power, Lighting)</t>
  </si>
  <si>
    <t>QP.E.ME.BL4.GEN.2940</t>
  </si>
  <si>
    <t>Shop Drawings | MEP | Blades | Blade-4 | MEP 1st Deliverables | BL4 - LEVEL +905M to +928M | ICT Containment</t>
  </si>
  <si>
    <t>QP.E.ME.BL4.GEN.2950</t>
  </si>
  <si>
    <t>Shop Drawings | MEP | Blades | Blade-4 | MEP 1st Deliverables | BL4 - LEVEL +935.85M to +975.82M | Fire Suppression</t>
  </si>
  <si>
    <t>QP.E.ME.BL4.GEN.2810</t>
  </si>
  <si>
    <t>Shop Drawings | MEP | Blades | Blade-4 | MEP 1st Deliverables | BL4 - LEVEL +935.85M to +975.82M | Drainage &amp; Plumbing</t>
  </si>
  <si>
    <t>QP.E.ME.BL4.GEN.2820</t>
  </si>
  <si>
    <t>Shop Drawings | MEP | Blades | Blade-4 | MEP 1st Deliverables | BL4 - LEVEL +935.85M to +975.82M | HVAC, Chilled Water, Ventilation</t>
  </si>
  <si>
    <t>QP.E.ME.BL4.GEN.2830</t>
  </si>
  <si>
    <t>Shop Drawings | MEP | Blades | Blade-4 | MEP 1st Deliverables | BL4 - LEVEL +935.85M to +975.82M | Electrical (Electrical Containment, Small Power, Lighting)</t>
  </si>
  <si>
    <t>QP.E.ME.BL4.GEN.2840</t>
  </si>
  <si>
    <t>Shop Drawings | MEP | Blades | Blade-4 | MEP 1st Deliverables | BL4 - LEVEL +935.85M to +975.82M | ICT Containment</t>
  </si>
  <si>
    <t>QP.E.ME.BL4.GEN.2850</t>
  </si>
  <si>
    <t>Shop Drawings | MEP | Blades | Blade-4 | MEP 2nd Deliverables | Fire Suppression</t>
  </si>
  <si>
    <t>QP.E.ME.BL4.GEN.5770</t>
  </si>
  <si>
    <t>Shop Drawings | MEP | Blades | Blade-4 | MEP 2nd Deliverables | Smoke Ventilation</t>
  </si>
  <si>
    <t>QP.E.ME.BL4.GEN.5810</t>
  </si>
  <si>
    <t>Shop Drawings | MEP | Blades | Blade-4 | MEP 2nd Deliverables | Electrical (Lighting Control)</t>
  </si>
  <si>
    <t>QP.E.ME.BL4.GEN.5830</t>
  </si>
  <si>
    <t>Shop Drawings | MEP | Blades | Blade-4 | MEP 2nd Deliverables | ICT Network, Emergency Lighting, Fire Alarm</t>
  </si>
  <si>
    <t>QP.E.ME.BL4.GEN.5850</t>
  </si>
  <si>
    <t>Shop Drawings | MEP | Blades | Blade-4 | MEP 3rd Deliverables (MEP Systems by Specialists) | Mechanical Power</t>
  </si>
  <si>
    <t>QP.E.ME.BL4.GEN.5870</t>
  </si>
  <si>
    <t>Shop Drawings | MEP | Blades | Blade-4 | MEP 3rd Deliverables (MEP Systems by Specialists) | Audio Visual</t>
  </si>
  <si>
    <t>QP.E.ME.BL4.GEN.5930</t>
  </si>
  <si>
    <t>Shop Drawings | MEP | Blades | Blade-4 | MEP 3rd Deliverables (MEP Systems by Specialists) | Background Music</t>
  </si>
  <si>
    <t>QP.E.ME.BL4.GEN.5950</t>
  </si>
  <si>
    <t>Shop Drawings | MEP | Blades | Blade-4 | MEP 3rd Deliverables (MEP Systems by Specialists) | Fire Protection NOVEC System</t>
  </si>
  <si>
    <t>QP.E.ME.BL4.GEN.5890</t>
  </si>
  <si>
    <t>Shop Drawings | MEP | Blades | Blade-4 | MEP 3rd Deliverables (MEP Systems by Specialists) | BMS</t>
  </si>
  <si>
    <t>QP.E.ME.BL4.GEN.5970</t>
  </si>
  <si>
    <t>Shop Drawings | MEP | Blades | Blade-4 | MEP 3rd Deliverables (MEP Systems by Specialists) | Security</t>
  </si>
  <si>
    <t>QP.E.ME.BL4.GEN.5990</t>
  </si>
  <si>
    <t>Shop Drawings | MEP | Blades | Blade-4 | MEP 4th Deliverables | MEP Room</t>
  </si>
  <si>
    <t>QP.E.ME.BL1.GEN.3540</t>
  </si>
  <si>
    <t>Shop Drawings | MEP | Blades | Blade-4 | MEP 4th Deliverables | MEP Room | Stromwater Tank and Pump</t>
  </si>
  <si>
    <t>QP.E.ME.BL4.GEN.3110</t>
  </si>
  <si>
    <t>Shop Drawings | MEP | Blades | Blade-4 | MEP 4th Deliverables | Busway</t>
  </si>
  <si>
    <t>QP.E.ME.BL4.GEN.5910</t>
  </si>
  <si>
    <t>Shop Drawings | MEP | Blades | Blade-5 | MEP Early Package and Builder's Work | BL5 - LEVEL +893.5M to +899.5M | Mechanical</t>
  </si>
  <si>
    <t>QP.E.ME.BL5.GEN.3040</t>
  </si>
  <si>
    <t>Shop Drawings | MEP | Blades | Blade-5 | MEP Early Package and Builder's Work | BL5 - LEVEL +893.5M to +899.5M | Electrical</t>
  </si>
  <si>
    <t>QP.E.ME.BL5.GEN.3060</t>
  </si>
  <si>
    <t>Shop Drawings | MEP | Blades | Blade-5 | MEP Early Package and Builder's Work | BL5 - LEVEL +905.00M to +928.00M | Mechanical</t>
  </si>
  <si>
    <t>QP.E.ME.BL5.GEN.3080</t>
  </si>
  <si>
    <t>Shop Drawings | MEP | Blades | Blade-5 | MEP Early Package and Builder's Work | BL5 - LEVEL +905.00M to +928.00M | Electrical</t>
  </si>
  <si>
    <t>QP.E.ME.BL5.GEN.3100</t>
  </si>
  <si>
    <t>BL5 - LEVEL +935.85M to 969.3M</t>
  </si>
  <si>
    <t>Shop Drawings | MEP | Blades | Blade-5 | MEP Early Package and Builder's Work | BL5 - LEVEL +935.85M to 969.3M | Mechanical</t>
  </si>
  <si>
    <t>QP.E.ME.BL5.GEN.3120</t>
  </si>
  <si>
    <t>Shop Drawings | MEP | Blades | Blade-5 | MEP Early Package and Builder's Work | BL5 - LEVEL +935.85M to 969.3M | Electrical</t>
  </si>
  <si>
    <t>QP.E.ME.BL5.GEN.3140</t>
  </si>
  <si>
    <t>Shop Drawings | MEP | Blades | Blade-5 | MEP 1st Deliverables | BL5 - LEVEL +893.5M to +899.5M | Fire Suppression</t>
  </si>
  <si>
    <t>QP.E.ME.BL5.GEN.1020</t>
  </si>
  <si>
    <t>Shop Drawings | MEP | Blades | Blade-5 | MEP 1st Deliverables | BL5 - LEVEL +893.5M to +899.5M | Drainage &amp; Plumbing</t>
  </si>
  <si>
    <t>QP.E.ME.BL5.GEN.1030</t>
  </si>
  <si>
    <t>Shop Drawings | MEP | Blades | Blade-5 | MEP 1st Deliverables | BL5 - LEVEL +893.5M to +899.5M | HVAC, Chilled Water, Ventilation</t>
  </si>
  <si>
    <t>QP.E.ME.BL5.GEN.1040</t>
  </si>
  <si>
    <t>Shop Drawings | MEP | Blades | Blade-5 | MEP 1st Deliverables | BL5 - LEVEL +893.5M to +899.5M | Electrical (Electrical Containment, Small Power, Lighting)</t>
  </si>
  <si>
    <t>QP.E.ME.BL5.GEN.1050</t>
  </si>
  <si>
    <t>Shop Drawings | MEP | Blades | Blade-5 | MEP 1st Deliverables | BL5 - LEVEL +893.5M to +899.5M | ICT Containment</t>
  </si>
  <si>
    <t>QP.E.ME.BL5.GEN.1060</t>
  </si>
  <si>
    <t>Shop Drawings | MEP | Blades | Blade-5 | MEP 1st Deliverables | BL5 - LEVEL +905.00M to +928.00M | Fire Suppression</t>
  </si>
  <si>
    <t>QP.E.ME.BL5.GEN.1550</t>
  </si>
  <si>
    <t>Shop Drawings | MEP | Blades | Blade-5 | MEP 1st Deliverables | BL5 - LEVEL +905.00M to +928.00M | Drainage &amp; Plumbing</t>
  </si>
  <si>
    <t>QP.E.ME.BL5.GEN.1560</t>
  </si>
  <si>
    <t>Shop Drawings | MEP | Blades | Blade-5 | MEP 1st Deliverables | BL5 - LEVEL +905.00M to +928.00M | HVAC, Chilled Water, Ventilation</t>
  </si>
  <si>
    <t>QP.E.ME.BL5.GEN.1570</t>
  </si>
  <si>
    <t>Shop Drawings | MEP | Blades | Blade-5 | MEP 1st Deliverables | BL5 - LEVEL +905.00M to +928.00M | Electrical (Electrical Containment, Small Power, Lighting)</t>
  </si>
  <si>
    <t>QP.E.ME.BL5.GEN.1580</t>
  </si>
  <si>
    <t>Shop Drawings | MEP | Blades | Blade-5 | MEP 1st Deliverables | BL5 - LEVEL +905.00M to +928.00M | ICT Containment</t>
  </si>
  <si>
    <t>QP.E.ME.BL5.GEN.1590</t>
  </si>
  <si>
    <t>Shop Drawings | MEP | Blades | Blade-5 | MEP 1st Deliverables | BL5 - LEVEL +935.85M to 969.3M | Fire Suppression</t>
  </si>
  <si>
    <t>QP.E.ME.BL5.GEN.1750</t>
  </si>
  <si>
    <t>Shop Drawings | MEP | Blades | Blade-5 | MEP 1st Deliverables | BL5 - LEVEL +935.85M to 969.3M | Drainage &amp; Plumbing</t>
  </si>
  <si>
    <t>QP.E.ME.BL5.GEN.1760</t>
  </si>
  <si>
    <t>Shop Drawings | MEP | Blades | Blade-5 | MEP 1st Deliverables | BL5 - LEVEL +935.85M to 969.3M | HVAC, Chilled Water, Ventilation</t>
  </si>
  <si>
    <t>QP.E.ME.BL5.GEN.1770</t>
  </si>
  <si>
    <t>Shop Drawings | MEP | Blades | Blade-5 | MEP 1st Deliverables | BL5 - LEVEL +935.85M to 969.3M | Electrical (Electrical Containment, Small Power, Lighting)</t>
  </si>
  <si>
    <t>QP.E.ME.BL5.GEN.1780</t>
  </si>
  <si>
    <t>Shop Drawings | MEP | Blades | Blade-5 | MEP 1st Deliverables | BL5 - LEVEL +935.85M to 969.3M | ICT Containment</t>
  </si>
  <si>
    <t>QP.E.ME.BL5.GEN.1790</t>
  </si>
  <si>
    <t>Shop Drawings | MEP | Blades | Blade-5 | MEP 2nd Deliverables | Fire Suppression</t>
  </si>
  <si>
    <t>QP.E.ME.BL5.GEN.2800</t>
  </si>
  <si>
    <t>Shop Drawings | MEP | Blades | Blade-5 | MEP 2nd Deliverables | Smoke Ventilation</t>
  </si>
  <si>
    <t>QP.E.ME.BL5.GEN.2840</t>
  </si>
  <si>
    <t>Shop Drawings | MEP | Blades | Blade-5 | MEP 2nd Deliverables | Electrical (Lighting Control)</t>
  </si>
  <si>
    <t>QP.E.ME.BL5.GEN.2860</t>
  </si>
  <si>
    <t>Shop Drawings | MEP | Blades | Blade-5 | MEP 2nd Deliverables | ICT Network, Emergency Lighting, Fire Alarm</t>
  </si>
  <si>
    <t>QP.E.ME.BL5.GEN.2880</t>
  </si>
  <si>
    <t>Shop Drawings | MEP | Blades | Blade-5 | MEP 3rd Deliverables (MEP Systems by Specialists) | Mechanical Power</t>
  </si>
  <si>
    <t>QP.E.ME.BL5.GEN.3020</t>
  </si>
  <si>
    <t>Shop Drawings | MEP | Blades | Blade-5 | MEP 3rd Deliverables (MEP Systems by Specialists) | Audio Visual</t>
  </si>
  <si>
    <t>QP.E.ME.BL5.GEN.2900</t>
  </si>
  <si>
    <t>Shop Drawings | MEP | Blades | Blade-5 | MEP 3rd Deliverables (MEP Systems by Specialists) | Background Music</t>
  </si>
  <si>
    <t>QP.E.ME.BL5.GEN.2920</t>
  </si>
  <si>
    <t>Shop Drawings | MEP | Blades | Blade-5 | MEP 3rd Deliverables (MEP Systems by Specialists) | Fire Protection NOVEC System</t>
  </si>
  <si>
    <t>QP.E.ME.BL5.GEN.3000</t>
  </si>
  <si>
    <t>Shop Drawings | MEP | Blades | Blade-5 | MEP 3rd Deliverables (MEP Systems by Specialists) | BMS</t>
  </si>
  <si>
    <t>QP.E.ME.BL5.GEN.2940</t>
  </si>
  <si>
    <t>Shop Drawings | MEP | Blades | Blade-5 | MEP 3rd Deliverables (MEP Systems by Specialists) | Security</t>
  </si>
  <si>
    <t>QP.E.ME.BL5.GEN.2960</t>
  </si>
  <si>
    <t>Shop Drawings | MEP | Blades | Blade-5 | MEP 4th Deliverables | MEP Room</t>
  </si>
  <si>
    <t>QP.E.ME.BL1.GEN.3560</t>
  </si>
  <si>
    <t>Shop Drawings | MEP | Blades | Blade-5 | MEP 4th Deliverables | MEP Room | Stromwater Tank and Pump</t>
  </si>
  <si>
    <t>QP.E.ME.BL5.GEN.1000</t>
  </si>
  <si>
    <t>Shop Drawings | MEP | Blades | Blade-5 | MEP 4th Deliverables | Busway</t>
  </si>
  <si>
    <t>QP.E.ME.BL5.GEN.2980</t>
  </si>
  <si>
    <t>Shop Drawings | MEP | Parking | MEP Early Package and Builder's Work | Parking Zone A | Mechanical</t>
  </si>
  <si>
    <t>QP.E.ME.PAR.GEN.1459</t>
  </si>
  <si>
    <t>Shop Drawings | MEP | Parking | MEP Early Package and Builder's Work | Parking Zone A | Electrical</t>
  </si>
  <si>
    <t>QP.E.ME.PAR.GEN.1479</t>
  </si>
  <si>
    <t>Shop Drawings | MEP | Parking | MEP Early Package and Builder's Work | Parking Zone B | Mechanical</t>
  </si>
  <si>
    <t>QP.E.ME.PAR.GEN.1499</t>
  </si>
  <si>
    <t>Shop Drawings | MEP | Parking | MEP Early Package and Builder's Work | Parking Zone B | Electrical</t>
  </si>
  <si>
    <t>QP.E.ME.PAR.GEN.1519</t>
  </si>
  <si>
    <t>Shop Drawings | MEP | Parking | MEP 1st Deliverables | Parking Zone A | Fire Suppression</t>
  </si>
  <si>
    <t>QP.E.ME.PAR.GEN.1000</t>
  </si>
  <si>
    <t>Shop Drawings | MEP | Parking | MEP 1st Deliverables | Parking Zone A | Drainage &amp; Plumbing</t>
  </si>
  <si>
    <t>QP.E.ME.PAR.GEN.1011</t>
  </si>
  <si>
    <t>Shop Drawings | MEP | Parking | MEP 1st Deliverables | Parking Zone A | HVAC, Chilled Water, Ventilation</t>
  </si>
  <si>
    <t>QP.E.ME.PAR.GEN.1022</t>
  </si>
  <si>
    <t>Shop Drawings | MEP | Parking | MEP 1st Deliverables | Parking Zone A | Electrical (Electrical Containment, Small Power, Lighting)</t>
  </si>
  <si>
    <t>QP.E.ME.PAR.GEN.1033</t>
  </si>
  <si>
    <t>Shop Drawings | MEP | Parking | MEP 1st Deliverables | Parking Zone A | ICT Containment</t>
  </si>
  <si>
    <t>QP.E.ME.PAR.GEN.1044</t>
  </si>
  <si>
    <t>Shop Drawings | MEP | Parking | MEP 1st Deliverables | Parking Zone B | Fire Suppression</t>
  </si>
  <si>
    <t>QP.E.ME.PAR.GEN.1055</t>
  </si>
  <si>
    <t>Shop Drawings | MEP | Parking | MEP 1st Deliverables | Parking Zone B | Drainage &amp; Plumbing</t>
  </si>
  <si>
    <t>QP.E.ME.PAR.GEN.1066</t>
  </si>
  <si>
    <t>Shop Drawings | MEP | Parking | MEP 1st Deliverables | Parking Zone B | HVAC, Chilled Water, Ventilation</t>
  </si>
  <si>
    <t>QP.E.ME.PAR.GEN.1077</t>
  </si>
  <si>
    <t>Shop Drawings | MEP | Parking | MEP 1st Deliverables | Parking Zone B | Electrical (Electrical Containment, Small Power, Lighting)</t>
  </si>
  <si>
    <t>QP.E.ME.PAR.GEN.1088</t>
  </si>
  <si>
    <t>Shop Drawings | MEP | Parking | MEP 1st Deliverables | Parking Zone B | ICT Containment</t>
  </si>
  <si>
    <t>QP.E.ME.PAR.GEN.1099</t>
  </si>
  <si>
    <t>Shop Drawings | MEP | Parking | MEP 2nd Deliverables | Fire Suppression</t>
  </si>
  <si>
    <t>QP.E.ME.PAR.GEN.1219</t>
  </si>
  <si>
    <t>Shop Drawings | MEP | Parking | MEP 2nd Deliverables | Smoke Ventilation</t>
  </si>
  <si>
    <t>QP.E.ME.PAR.GEN.1259</t>
  </si>
  <si>
    <t>Shop Drawings | MEP | Parking | MEP 2nd Deliverables | Electrical (Lighting Control)</t>
  </si>
  <si>
    <t>QP.E.ME.PAR.GEN.1279</t>
  </si>
  <si>
    <t>Shop Drawings | MEP | Parking | MEP 2nd Deliverables | ICT Network, Emergency Lighting, Fire Alarm</t>
  </si>
  <si>
    <t>QP.E.ME.PAR.GEN.1299</t>
  </si>
  <si>
    <t>Shop Drawings | MEP | Parking | MEP 3rd Deliverables (MEP Systems by Specialists) | Mechanical Power</t>
  </si>
  <si>
    <t>QP.E.ME.PAR.GEN.1419</t>
  </si>
  <si>
    <t>Shop Drawings | MEP | Parking | MEP 3rd Deliverables (MEP Systems by Specialists) | Audio Visual</t>
  </si>
  <si>
    <t>QP.E.ME.PAR.GEN.1319</t>
  </si>
  <si>
    <t>Shop Drawings | MEP | Parking | MEP 3rd Deliverables (MEP Systems by Specialists) | Background Music</t>
  </si>
  <si>
    <t>QP.E.ME.PAR.GEN.1339</t>
  </si>
  <si>
    <t>Shop Drawings | MEP | Parking | MEP 3rd Deliverables (MEP Systems by Specialists) | Fire Protection NOVEC System</t>
  </si>
  <si>
    <t>QP.E.ME.PAR.GEN.1439</t>
  </si>
  <si>
    <t>Shop Drawings | MEP | Parking | MEP 3rd Deliverables (MEP Systems by Specialists) | BMS</t>
  </si>
  <si>
    <t>QP.E.ME.PAR.GEN.1359</t>
  </si>
  <si>
    <t>Shop Drawings | MEP | Parking | MEP 3rd Deliverables (MEP Systems by Specialists) | Security</t>
  </si>
  <si>
    <t>QP.E.ME.PAR.GEN.1379</t>
  </si>
  <si>
    <t>Shop Drawings | MEP | Parking | MEP 4th Deliverables | Busway</t>
  </si>
  <si>
    <t>QP.E.ME.PAR.GEN.1399</t>
  </si>
  <si>
    <t>Link Bridges</t>
  </si>
  <si>
    <t>Link Bridge 1 - Blade 2 to Promenade Level</t>
  </si>
  <si>
    <t>Shop Drawings | MEP | Link Bridges | Link Bridge 1 - Blade 2 to Promenade Level | Fire Suppression</t>
  </si>
  <si>
    <t>QP.E.ME.MBL.GEN.3600</t>
  </si>
  <si>
    <t>Shop Drawings | MEP | Link Bridges | Link Bridge 1 - Blade 2 to Promenade Level | Heating, Ventilating, and Air Conditioning (HVAC)</t>
  </si>
  <si>
    <t>QP.E.ME.MBL.GEN.3610</t>
  </si>
  <si>
    <t>Shop Drawings | MEP | Link Bridges | Link Bridge 1 - Blade 2 to Promenade Level | Electrical</t>
  </si>
  <si>
    <t>QP.E.ME.MBL.GEN.3620</t>
  </si>
  <si>
    <t>Link Bridge 2 - Blade 3 to Promenade Level</t>
  </si>
  <si>
    <t>Shop Drawings | MEP | Link Bridges | Link Bridge 2 - Blade 3 to Promenade Level | Fire Suppression</t>
  </si>
  <si>
    <t>QP.E.ME.MBL.GEN.4430</t>
  </si>
  <si>
    <t>Shop Drawings | MEP | Link Bridges | Link Bridge 2 - Blade 3 to Promenade Level | Heating, Ventilating, and Air Conditioning (HVAC)</t>
  </si>
  <si>
    <t>QP.E.ME.MBL.GEN.4440</t>
  </si>
  <si>
    <t>Shop Drawings | MEP | Link Bridges | Link Bridge 2 - Blade 3 to Promenade Level | Electrical</t>
  </si>
  <si>
    <t>QP.E.ME.MBL.GEN.4450</t>
  </si>
  <si>
    <t>Link Bridge 3 - Blade 4 to Promenade Level</t>
  </si>
  <si>
    <t>Shop Drawings | MEP | Link Bridges | Link Bridge 3 - Blade 4 to Promenade Level | Fire Suppression</t>
  </si>
  <si>
    <t>QP.E.ME.MBL.GEN.3960</t>
  </si>
  <si>
    <t>Shop Drawings | MEP | Link Bridges | Link Bridge 3 - Blade 4 to Promenade Level | Heating, Ventilating, and Air Conditioning (HVAC)</t>
  </si>
  <si>
    <t>QP.E.ME.MBL.GEN.3970</t>
  </si>
  <si>
    <t>Shop Drawings | MEP | Link Bridges | Link Bridge 3 - Blade 4 to Promenade Level | Electrical</t>
  </si>
  <si>
    <t>QP.E.ME.MBL.GEN.3980</t>
  </si>
  <si>
    <t>Link Bridge 4 - Blade 2 to Plaza</t>
  </si>
  <si>
    <t>Shop Drawings | MEP | Link Bridges | Link Bridge 4 - Blade 2 to Plaza | Fire Suppression</t>
  </si>
  <si>
    <t>QP.E.ME.MBL.GEN.3930</t>
  </si>
  <si>
    <t>Shop Drawings | MEP | Link Bridges | Link Bridge 4 - Blade 2 to Plaza | Heating, Ventilating, and Air Conditioning (HVAC)</t>
  </si>
  <si>
    <t>QP.E.ME.MBL.GEN.3940</t>
  </si>
  <si>
    <t>Shop Drawings | MEP | Link Bridges | Link Bridge 4 - Blade 2 to Plaza | Electrical</t>
  </si>
  <si>
    <t>QP.E.ME.MBL.GEN.3950</t>
  </si>
  <si>
    <t>Link Bridge 5 - Blade 3 to Lobby</t>
  </si>
  <si>
    <t>Shop Drawings | MEP | Link Bridges | Link Bridge 5 - Blade 3 to Lobby | Fire Suppression</t>
  </si>
  <si>
    <t>QP.E.ME.MBL.GEN.3810</t>
  </si>
  <si>
    <t>Shop Drawings | MEP | Link Bridges | Link Bridge 5 - Blade 3 to Lobby | Heating, Ventilating, and Air Conditioning (HVAC)</t>
  </si>
  <si>
    <t>QP.E.ME.MBL.GEN.3820</t>
  </si>
  <si>
    <t>Shop Drawings | MEP | Link Bridges | Link Bridge 5 - Blade 3 to Lobby | Electrical</t>
  </si>
  <si>
    <t>QP.E.ME.MBL.GEN.3830</t>
  </si>
  <si>
    <t>Link Bridge 6 - Blade 1 to Adaptable Theatre</t>
  </si>
  <si>
    <t>Shop Drawings | MEP | Link Bridges | Link Bridge 6 - Blade 1 to Adaptable Theatre | Fire Suppression</t>
  </si>
  <si>
    <t>QP.E.ME.MBL.GEN.4400</t>
  </si>
  <si>
    <t>Shop Drawings | MEP | Link Bridges | Link Bridge 6 - Blade 1 to Adaptable Theatre | Heating, Ventilating, and Air Conditioning (HVAC)</t>
  </si>
  <si>
    <t>QP.E.ME.MBL.GEN.4410</t>
  </si>
  <si>
    <t>Shop Drawings | MEP | Link Bridges | Link Bridge 6 - Blade 1 to Adaptable Theatre | Electrical</t>
  </si>
  <si>
    <t>QP.E.ME.MBL.GEN.4420</t>
  </si>
  <si>
    <t>Link Bridge 7 - Adaptable Theatre to Premium Theatre</t>
  </si>
  <si>
    <t>Shop Drawings | MEP | Link Bridges | Link Bridge 7 - Adaptable Theatre to Premium Theatre | Fire Suppression</t>
  </si>
  <si>
    <t>QP.E.ME.MBL.GEN.4340</t>
  </si>
  <si>
    <t>Shop Drawings | MEP | Link Bridges | Link Bridge 7 - Adaptable Theatre to Premium Theatre | Heating, Ventilating, and Air Conditioning (HVAC)</t>
  </si>
  <si>
    <t>QP.E.ME.MBL.GEN.4350</t>
  </si>
  <si>
    <t>Shop Drawings | MEP | Link Bridges | Link Bridge 7 - Adaptable Theatre to Premium Theatre | Electrical</t>
  </si>
  <si>
    <t>QP.E.ME.MBL.GEN.4360</t>
  </si>
  <si>
    <t>Link Bridge 9 - Blade 5 to Premium Theatre</t>
  </si>
  <si>
    <t>Shop Drawings | MEP | Link Bridges | Link Bridge 9 - Blade 5 to Premium Theatre | Fire Suppression</t>
  </si>
  <si>
    <t>QP.E.ME.MBL.GEN.4520</t>
  </si>
  <si>
    <t>Shop Drawings | MEP | Link Bridges | Link Bridge 9 - Blade 5 to Premium Theatre | Heating, Ventilating, and Air Conditioning (HVAC)</t>
  </si>
  <si>
    <t>QP.E.ME.MBL.GEN.4530</t>
  </si>
  <si>
    <t>Shop Drawings | MEP | Link Bridges | Link Bridge 9 - Blade 5 to Premium Theatre | Electrical</t>
  </si>
  <si>
    <t>QP.E.ME.MBL.GEN.4540</t>
  </si>
  <si>
    <t>Link Bridge 10 - Blade 3 to Premium Theatre</t>
  </si>
  <si>
    <t>Shop Drawings | MEP | Link Bridges | Link Bridge 10 - Blade 3 to Premium Theatre | Fire Suppression</t>
  </si>
  <si>
    <t>QP.E.ME.MBL.GEN.4640</t>
  </si>
  <si>
    <t>Shop Drawings | MEP | Link Bridges | Link Bridge 10 - Blade 3 to Premium Theatre | Heating, Ventilating, and Air Conditioning (HVAC)</t>
  </si>
  <si>
    <t>QP.E.ME.MBL.GEN.4650</t>
  </si>
  <si>
    <t>Shop Drawings | MEP | Link Bridges | Link Bridge 10 - Blade 3 to Premium Theatre | Electrical</t>
  </si>
  <si>
    <t>QP.E.ME.MBL.GEN.4660</t>
  </si>
  <si>
    <t>Link Bridge 11 - Blade 1 to Loft</t>
  </si>
  <si>
    <t>Shop Drawings | MEP | Link Bridges | Link Bridge 11 - Blade 1 to Loft | Fire Suppression</t>
  </si>
  <si>
    <t>QP.E.ME.MBL.GEN.3870</t>
  </si>
  <si>
    <t>Shop Drawings | MEP | Link Bridges | Link Bridge 11 - Blade 1 to Loft | Heating, Ventilating, and Air Conditioning (HVAC)</t>
  </si>
  <si>
    <t>QP.E.ME.MBL.GEN.3880</t>
  </si>
  <si>
    <t>Shop Drawings | MEP | Link Bridges | Link Bridge 11 - Blade 1 to Loft | Electrical</t>
  </si>
  <si>
    <t>QP.E.ME.MBL.GEN.3890</t>
  </si>
  <si>
    <t>Link Bridge 12 - Blade 4 to Loft</t>
  </si>
  <si>
    <t>Shop Drawings | MEP | Link Bridges | Link Bridge 12 - Blade 4 to Loft | Fire Suppression</t>
  </si>
  <si>
    <t>QP.E.ME.MBL.GEN.3840</t>
  </si>
  <si>
    <t>Shop Drawings | MEP | Link Bridges | Link Bridge 12 - Blade 4 to Loft | Heating, Ventilating, and Air Conditioning (HVAC)</t>
  </si>
  <si>
    <t>QP.E.ME.MBL.GEN.3850</t>
  </si>
  <si>
    <t>Shop Drawings | MEP | Link Bridges | Link Bridge 12 - Blade 4 to Loft | Electrical</t>
  </si>
  <si>
    <t>QP.E.ME.MBL.GEN.3860</t>
  </si>
  <si>
    <t>Link Bridge 13 - Blade 5 to Loft</t>
  </si>
  <si>
    <t>Shop Drawings | MEP | Link Bridges | Link Bridge 13 - Blade 5 to Loft | Fire Suppression</t>
  </si>
  <si>
    <t>QP.E.ME.MBL.GEN.4550</t>
  </si>
  <si>
    <t>Shop Drawings | MEP | Link Bridges | Link Bridge 13 - Blade 5 to Loft | Heating, Ventilating, and Air Conditioning (HVAC)</t>
  </si>
  <si>
    <t>QP.E.ME.MBL.GEN.4560</t>
  </si>
  <si>
    <t>Shop Drawings | MEP | Link Bridges | Link Bridge 13 - Blade 5 to Loft | Electrical</t>
  </si>
  <si>
    <t>QP.E.ME.MBL.GEN.4570</t>
  </si>
  <si>
    <t>Facade</t>
  </si>
  <si>
    <t>Facade System Drawings</t>
  </si>
  <si>
    <t>Blades 3, 4 &amp; 5</t>
  </si>
  <si>
    <t>Shop Drawings | Facade | Facade System Drawings | Blades 3, 4 &amp; 5</t>
  </si>
  <si>
    <t>QP.E.FA.GEN.GEN.1460</t>
  </si>
  <si>
    <t>Blades 1 &amp; 2</t>
  </si>
  <si>
    <t>Shop Drawings | Facade | Facade System Drawings | Blades 1 &amp; 2</t>
  </si>
  <si>
    <t>QP.E.FA.GEN.GEN.2180</t>
  </si>
  <si>
    <t>Loft and Lobby</t>
  </si>
  <si>
    <t>Shop Drawings | Facade | Facade System Drawings | Loft and Lobby</t>
  </si>
  <si>
    <t>QP.E.FA.GEN.GEN.2140</t>
  </si>
  <si>
    <t>Sky-restaurant / Royal Majlis, bridges, Balustrades and basement</t>
  </si>
  <si>
    <t>Shop Drawings | Facade | Facade System Drawings | Sky-restaurant / Royal Majlis, bridges, Balustrades and basement</t>
  </si>
  <si>
    <t>QP.E.FA.GEN.GEN.2160</t>
  </si>
  <si>
    <t>Wire Frame</t>
  </si>
  <si>
    <t>Shop Drawings | Facade | Wire Frame | Blades</t>
  </si>
  <si>
    <t>QP.E.FA.GEN.GEN.1820</t>
  </si>
  <si>
    <t>Lobby and Loft</t>
  </si>
  <si>
    <t>Shop Drawings | Facade | Wire Frame | Lobby and Loft</t>
  </si>
  <si>
    <t>QP.E.FA.GEN.GEN.1770</t>
  </si>
  <si>
    <t>Above Loft</t>
  </si>
  <si>
    <t>Shop Drawings | Facade | Wire Frame | Above Loft</t>
  </si>
  <si>
    <t>QP.E.FA.GEN.GEN.1780</t>
  </si>
  <si>
    <t>Facade Mockup</t>
  </si>
  <si>
    <t>Shop Drawings | Facade | Facade Mockup | Blades</t>
  </si>
  <si>
    <t>QP.E.FA.GEN.GEN.1890</t>
  </si>
  <si>
    <t>Shop Drawings | Facade | Facade Mockup | Main Building</t>
  </si>
  <si>
    <t>QP.E.FA.GEN.GEN.2230</t>
  </si>
  <si>
    <t>Shop Drawings | Facade | Blades | Blade 1</t>
  </si>
  <si>
    <t>QP.E.FA.GEN.GEN.1920</t>
  </si>
  <si>
    <t>Shop Drawings | Facade | Blades | Blade 2</t>
  </si>
  <si>
    <t>QP.E.FA.GEN.GEN.1930</t>
  </si>
  <si>
    <t>Shop Drawings | Facade | Blades | Blade 3</t>
  </si>
  <si>
    <t>QP.E.FA.GEN.GEN.1940</t>
  </si>
  <si>
    <t>Shop Drawings | Facade | Blades | Blade 4</t>
  </si>
  <si>
    <t>QP.E.FA.GEN.GEN.1950</t>
  </si>
  <si>
    <t>Shop Drawings | Facade | Blades | Blade 5</t>
  </si>
  <si>
    <t>QP.E.FA.GEN.GEN.1960</t>
  </si>
  <si>
    <t>Shop Drawings | Facade | Amphitheatre</t>
  </si>
  <si>
    <t>QP.E.FA.GEN.GEN.2240</t>
  </si>
  <si>
    <t>Lobby</t>
  </si>
  <si>
    <t>Shop Drawings | Facade | Lobby</t>
  </si>
  <si>
    <t>QP.E.FA.GEN.GEN.2090</t>
  </si>
  <si>
    <t>Loft</t>
  </si>
  <si>
    <t>Shop Drawings | Facade | Loft</t>
  </si>
  <si>
    <t>QP.E.FA.GEN.GEN.2100</t>
  </si>
  <si>
    <t>Shop Drawings | Facade | Above Loft</t>
  </si>
  <si>
    <t>QP.E.FA.GEN.GEN.1910</t>
  </si>
  <si>
    <t>Shop Drawings | Facade | Link Bridges</t>
  </si>
  <si>
    <t>QP.E.FA.GEN.GEN.2050</t>
  </si>
  <si>
    <t>Facade Lighting Fixtures</t>
  </si>
  <si>
    <t>Shop Drawings | Facade | Facade Lighting Fixtures</t>
  </si>
  <si>
    <t>QP.E.FA.GEN.GEN.1450</t>
  </si>
  <si>
    <t>GRC Cladding</t>
  </si>
  <si>
    <t>Shop Drawings | Facade | GRC Cladding</t>
  </si>
  <si>
    <t>QP.E.FA.GEN.GEN.1390</t>
  </si>
  <si>
    <t>External Works</t>
  </si>
  <si>
    <t>Structural - Step Walls / Pony Walls</t>
  </si>
  <si>
    <t>Batch 1</t>
  </si>
  <si>
    <t>Shop Drawings | External Works | Structural - Step Walls / Pony Walls | Batch 1</t>
  </si>
  <si>
    <t>QP.E.CV.MBL.GEN.3060</t>
  </si>
  <si>
    <t>Batch 2</t>
  </si>
  <si>
    <t>Shop Drawings | External Works | Structural - Step Walls / Pony Walls | Batch 2</t>
  </si>
  <si>
    <t>QP.E.CV.MBL.GEN.3560</t>
  </si>
  <si>
    <t>Batch 3</t>
  </si>
  <si>
    <t>Shop Drawings | External Works | Structural - Step Walls / Pony Walls | Batch 3</t>
  </si>
  <si>
    <t>QP.E.CV.MBL.GEN.3580</t>
  </si>
  <si>
    <t>Batch 4</t>
  </si>
  <si>
    <t>Shop Drawings | External Works | Structural - Step Walls / Pony Walls | Batch 4</t>
  </si>
  <si>
    <t>QP.E.CV.MBL.GEN.3600</t>
  </si>
  <si>
    <t>Waterproofing for External Works</t>
  </si>
  <si>
    <t>Shop Drawings | External Works | Waterproofing for External Works</t>
  </si>
  <si>
    <t>QP.E.EX.GEN.GEN.1040</t>
  </si>
  <si>
    <t>Access Tunnel</t>
  </si>
  <si>
    <t>Excavation</t>
  </si>
  <si>
    <t>Shop Drawings | External Works | Access Tunnel | Concrete | Excavation</t>
  </si>
  <si>
    <t>Blinding Including Embedded Items</t>
  </si>
  <si>
    <t>Shop Drawings | External Works | Access Tunnel | Concrete | Blinding Including Embedded Items</t>
  </si>
  <si>
    <t>QP.E.CV.MBL.GEN.3500</t>
  </si>
  <si>
    <t>Foundation Including Embedded Items</t>
  </si>
  <si>
    <t>Shop Drawings | External Works | Access Tunnel | Concrete | Foundation Including Embedded Items</t>
  </si>
  <si>
    <t>QP.E.CV.MBL.GEN.3480</t>
  </si>
  <si>
    <t>Structural Concrete Works Including Embedded Items</t>
  </si>
  <si>
    <t>Shop Drawings | External Works | Access Tunnel | Concrete | Structural Concrete Works Including Embedded Items</t>
  </si>
  <si>
    <t>QP.E.CV.MBL.GEN.3520</t>
  </si>
  <si>
    <t>Shop Drawings | External Works | Access Tunnel | Architecture and Fitouts | Rough Finishing (CMU &amp; GA)</t>
  </si>
  <si>
    <t>QP.E.AF.MBL.GEN.4000</t>
  </si>
  <si>
    <t>Finishing</t>
  </si>
  <si>
    <t>Shop Drawings | External Works | Access Tunnel | Architecture and Fitouts | Finishing</t>
  </si>
  <si>
    <t>QP.E.AF.MBL.GEN.4030</t>
  </si>
  <si>
    <t>Shop Drawings | External Works | Access Tunnel | Architecture and Fitouts | Non-Structural Metal works</t>
  </si>
  <si>
    <t>QP.E.AF.MBL.GEN.4010</t>
  </si>
  <si>
    <t>Shop Drawings | External Works | Access Tunnel | Architecture and Fitouts | Doors / Openings</t>
  </si>
  <si>
    <t>QP.E.AF.MBL.GEN.4020</t>
  </si>
  <si>
    <t>MEP Works</t>
  </si>
  <si>
    <t>Shop Drawings | External Works | Access Tunnel | MEP Works | MEP 1st Deliverables | Fire Suppression</t>
  </si>
  <si>
    <t>QP.E.ME.MBL.GEN.1690</t>
  </si>
  <si>
    <t>Shop Drawings | External Works | Access Tunnel | MEP Works | MEP 1st Deliverables | Plumbing</t>
  </si>
  <si>
    <t>QP.E.ME.MBL.GEN.1700</t>
  </si>
  <si>
    <t>Shop Drawings | External Works | Access Tunnel | MEP Works | MEP 1st Deliverables | Heating, Ventilating, and Air Conditioning (HVAC)</t>
  </si>
  <si>
    <t>QP.E.ME.MBL.GEN.1710</t>
  </si>
  <si>
    <t>Shop Drawings | External Works | Access Tunnel | MEP Works | MEP 1st Deliverables | Electrical</t>
  </si>
  <si>
    <t>QP.E.ME.MBL.GEN.1720</t>
  </si>
  <si>
    <t>Shop Drawings | External Works | Access Tunnel | MEP Works | MEP 1st Deliverables | ELV (Low Current System)</t>
  </si>
  <si>
    <t>QP.E.ME.MBL.GEN.1730</t>
  </si>
  <si>
    <t>External Utilities</t>
  </si>
  <si>
    <t>Irrigation Works</t>
  </si>
  <si>
    <t>Shop Drawings | External Works | External Utilities | Irrigation Works</t>
  </si>
  <si>
    <t>QP.E.EX.GEN.GEN.1090</t>
  </si>
  <si>
    <t>External Drainage Works</t>
  </si>
  <si>
    <t>Shop Drawings | External Works | External Utilities | External Drainage Works</t>
  </si>
  <si>
    <t>QP.E.EX.GEN.GEN.1110</t>
  </si>
  <si>
    <t>External Lighting Works</t>
  </si>
  <si>
    <t>Shop Drawings | External Works | External Utilities | External Lighting Works</t>
  </si>
  <si>
    <t>QP.E.EX.GEN.GEN.1170</t>
  </si>
  <si>
    <t>Low Current</t>
  </si>
  <si>
    <t>Shop Drawings | External Works | External Utilities | Low Current</t>
  </si>
  <si>
    <t>QP.E.EX.GEN.GEN.1100</t>
  </si>
  <si>
    <t>Landscape - Hardscape</t>
  </si>
  <si>
    <t>Shop Drawings | External Works | Landscape - Hardscape</t>
  </si>
  <si>
    <t>Water and Environment</t>
  </si>
  <si>
    <t>Shop Drawings | External Works | Water and Environment</t>
  </si>
  <si>
    <t>QP.E.EX.GEN.GEN.1220</t>
  </si>
  <si>
    <t>External Fixtures</t>
  </si>
  <si>
    <t>Shop Drawings | External Works | External Fixtures</t>
  </si>
  <si>
    <t>QP.E.EX.GEN.GEN.1260</t>
  </si>
  <si>
    <t>Shop Drawings | External Works | LPG System</t>
  </si>
  <si>
    <t>QP.E.EX.GEN.GEN.1300</t>
  </si>
  <si>
    <t>Numbering System
Document - Metadata Mapping</t>
  </si>
  <si>
    <t>DOCUMENT NUMBERING DROPDOWN ATTRIBUTES</t>
  </si>
  <si>
    <t>QIC GENERAL DROPDOWN ATTRIBUTES</t>
  </si>
  <si>
    <t>FIELD 01 - PROJECT CODE</t>
  </si>
  <si>
    <t>FIELD 02 - ORIGINATOR</t>
  </si>
  <si>
    <t>FIELD 03 - CONTRACT REFERENCE</t>
  </si>
  <si>
    <t>FIELD 04 - DOCUMENT TYPES</t>
  </si>
  <si>
    <t>FIELD 05 - DISCIPLINE</t>
  </si>
  <si>
    <t>FIELD 06 - AREA/ZONE</t>
  </si>
  <si>
    <t>FIELD 07 - VENUE/BUILDING</t>
  </si>
  <si>
    <t>FIELD 08 - SERIAL NUMBER</t>
  </si>
  <si>
    <t>DOCUMENT DETAILS</t>
  </si>
  <si>
    <t>SUITABILITY STATUS</t>
  </si>
  <si>
    <t>NAP GENERAL DROPDOWN ATTRIBUTES</t>
  </si>
  <si>
    <t>Ab. 01</t>
  </si>
  <si>
    <t>1 - Project Name</t>
  </si>
  <si>
    <t>Ab. 02</t>
  </si>
  <si>
    <t>2 - Originator Name</t>
  </si>
  <si>
    <t>Ab. 03</t>
  </si>
  <si>
    <t>3 - Contract Reference</t>
  </si>
  <si>
    <t>Ab. 04</t>
  </si>
  <si>
    <t>4 - Document Type</t>
  </si>
  <si>
    <t>Ab. 05</t>
  </si>
  <si>
    <t>5 - Discipline</t>
  </si>
  <si>
    <t>Ab. 06</t>
  </si>
  <si>
    <t>6 - Area/Zone</t>
  </si>
  <si>
    <t>Ab. 07</t>
  </si>
  <si>
    <t>7 - Venue/Building</t>
  </si>
  <si>
    <t>Ab. 08A</t>
  </si>
  <si>
    <t>8A - Drawing Type</t>
  </si>
  <si>
    <t>Ab. 08B</t>
  </si>
  <si>
    <t>8B - Level</t>
  </si>
  <si>
    <t>8C - Sequence Number</t>
  </si>
  <si>
    <t>Authoring Software</t>
  </si>
  <si>
    <t>File/Exchange Format</t>
  </si>
  <si>
    <t>Scope Area</t>
  </si>
  <si>
    <t>Code</t>
  </si>
  <si>
    <t>Status</t>
  </si>
  <si>
    <t>Scale</t>
  </si>
  <si>
    <t>Classification ID</t>
  </si>
  <si>
    <t>Classification</t>
  </si>
  <si>
    <t>Corporate Discipline</t>
  </si>
  <si>
    <t>Author</t>
  </si>
  <si>
    <t>Qiddaya Performing Arts Center</t>
  </si>
  <si>
    <t>Nesma and Partners</t>
  </si>
  <si>
    <t xml:space="preserve">Contract Number </t>
  </si>
  <si>
    <t>AGD</t>
  </si>
  <si>
    <t>Agenda</t>
  </si>
  <si>
    <t>ACO</t>
  </si>
  <si>
    <t>Acoustic</t>
  </si>
  <si>
    <t xml:space="preserve">Overall </t>
  </si>
  <si>
    <t>Overall</t>
  </si>
  <si>
    <t>General (General Notes, Abbreviations, Legends, Single Line Diagrams, General Detail)</t>
  </si>
  <si>
    <t>Non-Specific ( For Blade )</t>
  </si>
  <si>
    <t>4 Digit Sequence Number For Drawings/Models</t>
  </si>
  <si>
    <t>Revit</t>
  </si>
  <si>
    <t>.rvt</t>
  </si>
  <si>
    <t xml:space="preserve">Design Management </t>
  </si>
  <si>
    <t>S0 (WIP)</t>
  </si>
  <si>
    <t>Initial status or WIP</t>
  </si>
  <si>
    <t>FI_60_25</t>
  </si>
  <si>
    <t>Drawing</t>
  </si>
  <si>
    <t>Architectural</t>
  </si>
  <si>
    <t>AVV</t>
  </si>
  <si>
    <t>Agreed Value of Variation</t>
  </si>
  <si>
    <t>ADM</t>
  </si>
  <si>
    <t>Administration</t>
  </si>
  <si>
    <t>Zone Sheet 1</t>
  </si>
  <si>
    <t>Center Block</t>
  </si>
  <si>
    <t>Elevations (Vertical View)</t>
  </si>
  <si>
    <t>B1</t>
  </si>
  <si>
    <t>Basement 1 - Parking A +900.50</t>
  </si>
  <si>
    <t>3 Digit Sequence Number For Documents</t>
  </si>
  <si>
    <t>.nwc</t>
  </si>
  <si>
    <t xml:space="preserve">Architecture / LDC </t>
  </si>
  <si>
    <t>S1 (Shared)</t>
  </si>
  <si>
    <t>Suitable for Coordination</t>
  </si>
  <si>
    <t>FI_90_75</t>
  </si>
  <si>
    <t>Schedule or table</t>
  </si>
  <si>
    <t>ASB</t>
  </si>
  <si>
    <t>As Built</t>
  </si>
  <si>
    <t>ARC</t>
  </si>
  <si>
    <t>Zone Sheet 2</t>
  </si>
  <si>
    <t>GARD01</t>
  </si>
  <si>
    <t>Guard House</t>
  </si>
  <si>
    <t>Plans (Overall, Horizontal View, Floor Plan, Ceiling Plan, Site Plan, Loading Plan)</t>
  </si>
  <si>
    <t>B2</t>
  </si>
  <si>
    <t>Basement 2 - Service +893.50</t>
  </si>
  <si>
    <t>MicrosoftWord</t>
  </si>
  <si>
    <t>.nwd</t>
  </si>
  <si>
    <t xml:space="preserve">Landscape </t>
  </si>
  <si>
    <t>S2 (Shared)</t>
  </si>
  <si>
    <t>Suitable for Information</t>
  </si>
  <si>
    <t>1:1</t>
  </si>
  <si>
    <t>FI_60_53</t>
  </si>
  <si>
    <t>Model</t>
  </si>
  <si>
    <t>Façade</t>
  </si>
  <si>
    <t>ALUTEC</t>
  </si>
  <si>
    <t>AUR</t>
  </si>
  <si>
    <t>Audit Report</t>
  </si>
  <si>
    <t>ADT</t>
  </si>
  <si>
    <t>Area Development</t>
  </si>
  <si>
    <t>Zone Sheet 3</t>
  </si>
  <si>
    <t>Blade 01</t>
  </si>
  <si>
    <t>Sections (Sectional View, Wall Section, Riser)</t>
  </si>
  <si>
    <t>B3</t>
  </si>
  <si>
    <t>Basement 3 - Promenade +887.750</t>
  </si>
  <si>
    <t>MicrosoftExcel</t>
  </si>
  <si>
    <t>.ifc</t>
  </si>
  <si>
    <t xml:space="preserve">Interior Design </t>
  </si>
  <si>
    <t>S3 (Shared)</t>
  </si>
  <si>
    <t>Suitable for Review and Comment</t>
  </si>
  <si>
    <t>1:2</t>
  </si>
  <si>
    <t>FI_60_15</t>
  </si>
  <si>
    <t>Clash Rendition</t>
  </si>
  <si>
    <t>Fire &amp; Life Safety</t>
  </si>
  <si>
    <t>AFCO</t>
  </si>
  <si>
    <t>BOQ</t>
  </si>
  <si>
    <t>Bill of Quantities</t>
  </si>
  <si>
    <t>ASM</t>
  </si>
  <si>
    <t>Assets Management</t>
  </si>
  <si>
    <t>Zone Sheet 4</t>
  </si>
  <si>
    <t>Blade 02</t>
  </si>
  <si>
    <t>Large-scale Views (Enlarged Details) (Plans, Elevations, Stair Sections, etc)</t>
  </si>
  <si>
    <t>Foundation level</t>
  </si>
  <si>
    <t>Navisworks</t>
  </si>
  <si>
    <t>.pdf</t>
  </si>
  <si>
    <t xml:space="preserve">Signage &amp; Wayfinding </t>
  </si>
  <si>
    <t>S4 (Shared)</t>
  </si>
  <si>
    <t>Suitable for Review and Authorisation</t>
  </si>
  <si>
    <t>1:5</t>
  </si>
  <si>
    <t>FI_40_10</t>
  </si>
  <si>
    <t xml:space="preserve">Calculations </t>
  </si>
  <si>
    <t>Interior Design</t>
  </si>
  <si>
    <t>DOKA</t>
  </si>
  <si>
    <t>BEP</t>
  </si>
  <si>
    <t>BIM Execution Plan</t>
  </si>
  <si>
    <t>AVL</t>
  </si>
  <si>
    <t>Zone Sheet 5</t>
  </si>
  <si>
    <t>Blade 03</t>
  </si>
  <si>
    <t>Details (Any detail view, such as Wall / Floor / Manhole Detail, etc)</t>
  </si>
  <si>
    <t>L1</t>
  </si>
  <si>
    <t>Lobby Level +905.0</t>
  </si>
  <si>
    <t>inDesign</t>
  </si>
  <si>
    <t>.jpg</t>
  </si>
  <si>
    <t xml:space="preserve">Public Interaction &amp; Activation </t>
  </si>
  <si>
    <t>S5 (Shared)</t>
  </si>
  <si>
    <t>Suitable for Review and Acceptance</t>
  </si>
  <si>
    <t>1:10</t>
  </si>
  <si>
    <t>FI_90_72</t>
  </si>
  <si>
    <t>Report</t>
  </si>
  <si>
    <t>RAWABI</t>
  </si>
  <si>
    <t>BIM</t>
  </si>
  <si>
    <t>BIM Model</t>
  </si>
  <si>
    <t>AUV</t>
  </si>
  <si>
    <t>Audio/Video</t>
  </si>
  <si>
    <t>Zone Sheet 6</t>
  </si>
  <si>
    <t>Blade 04</t>
  </si>
  <si>
    <t>Schedules and Diagrams</t>
  </si>
  <si>
    <t>L2</t>
  </si>
  <si>
    <t>Theater Stalls +913.0</t>
  </si>
  <si>
    <t>Inviso</t>
  </si>
  <si>
    <t>.xls</t>
  </si>
  <si>
    <t xml:space="preserve">Structure </t>
  </si>
  <si>
    <t>A1 (Published)</t>
  </si>
  <si>
    <t>Authorised and Accepted-Concept Design</t>
  </si>
  <si>
    <t>1:20</t>
  </si>
  <si>
    <t>FI_10_90</t>
  </si>
  <si>
    <t>Transmittal</t>
  </si>
  <si>
    <t>Landscape</t>
  </si>
  <si>
    <t>BRF</t>
  </si>
  <si>
    <t>Brief</t>
  </si>
  <si>
    <t>BRG</t>
  </si>
  <si>
    <t>Bridges</t>
  </si>
  <si>
    <t>Zone Sheet 7</t>
  </si>
  <si>
    <t>Blade 05</t>
  </si>
  <si>
    <t>Combination of different views</t>
  </si>
  <si>
    <t>L3</t>
  </si>
  <si>
    <t>Stalles Mezz &amp; AD Theater +917.5</t>
  </si>
  <si>
    <t>JPG</t>
  </si>
  <si>
    <t>.xer</t>
  </si>
  <si>
    <t xml:space="preserve">Geotechnical Engineering </t>
  </si>
  <si>
    <t>A2 (Published)</t>
  </si>
  <si>
    <t>Authorised and Accepted-Schematic Design 100%</t>
  </si>
  <si>
    <t>1:25</t>
  </si>
  <si>
    <t>FI_90_47</t>
  </si>
  <si>
    <t>Log</t>
  </si>
  <si>
    <t>BUD</t>
  </si>
  <si>
    <t>Budget</t>
  </si>
  <si>
    <t>BRC</t>
  </si>
  <si>
    <t>Broadcast</t>
  </si>
  <si>
    <t>Zone Sheet 8</t>
  </si>
  <si>
    <t>MBLAD1</t>
  </si>
  <si>
    <t>Mini Blade 01</t>
  </si>
  <si>
    <t>8</t>
  </si>
  <si>
    <t>User-Defined (For types that do not fall in other categories)</t>
  </si>
  <si>
    <t>L4</t>
  </si>
  <si>
    <t>First Circle &amp; AD Theater +921.0</t>
  </si>
  <si>
    <t>Recap</t>
  </si>
  <si>
    <t>.dwf</t>
  </si>
  <si>
    <t>A3 (Published)</t>
  </si>
  <si>
    <t>Authorised and Accepted-Detailed Design 100%</t>
  </si>
  <si>
    <t>1:50</t>
  </si>
  <si>
    <t>FI_80_50</t>
  </si>
  <si>
    <t>Method statement</t>
  </si>
  <si>
    <t>Structural</t>
  </si>
  <si>
    <t>Subcontractor - Unassigned</t>
  </si>
  <si>
    <t>Calculation</t>
  </si>
  <si>
    <t>Building Information Modelling</t>
  </si>
  <si>
    <t>Zone Sheet 9</t>
  </si>
  <si>
    <t>MBLAD4</t>
  </si>
  <si>
    <t>Mini Blade 04</t>
  </si>
  <si>
    <t>9</t>
  </si>
  <si>
    <t>3D Representation (Isometric, Perspectives, Photographes)</t>
  </si>
  <si>
    <t>L5</t>
  </si>
  <si>
    <t>Second Circle &amp; Loft</t>
  </si>
  <si>
    <t>Rhino</t>
  </si>
  <si>
    <t>.dwg</t>
  </si>
  <si>
    <t xml:space="preserve">MEP Engineering </t>
  </si>
  <si>
    <t>A4 (Published)</t>
  </si>
  <si>
    <t>Authorised and Accepted-Tender</t>
  </si>
  <si>
    <t>FI_90_64</t>
  </si>
  <si>
    <t>Plan</t>
  </si>
  <si>
    <t>Provisional Sum</t>
  </si>
  <si>
    <t>CER</t>
  </si>
  <si>
    <t>Certificate</t>
  </si>
  <si>
    <t>Building Management System</t>
  </si>
  <si>
    <t>Zone Sheet 10</t>
  </si>
  <si>
    <t>SEC Room</t>
  </si>
  <si>
    <t>L6</t>
  </si>
  <si>
    <t>SKY Garden +935.85</t>
  </si>
  <si>
    <t>Sketchup</t>
  </si>
  <si>
    <t>.bcf</t>
  </si>
  <si>
    <t xml:space="preserve">Fire &amp; Life Safety </t>
  </si>
  <si>
    <t>A5 (Published)</t>
  </si>
  <si>
    <t>Authorised and Accepted-IFC</t>
  </si>
  <si>
    <t>COR</t>
  </si>
  <si>
    <t>Change Order</t>
  </si>
  <si>
    <t>CWC</t>
  </si>
  <si>
    <t>Chilled Water / Cooling</t>
  </si>
  <si>
    <t>Zone Sheet 11</t>
  </si>
  <si>
    <t>Parking Building</t>
  </si>
  <si>
    <t>L8</t>
  </si>
  <si>
    <t>Royal Majlis +948.10M</t>
  </si>
  <si>
    <t>Autocad</t>
  </si>
  <si>
    <t>.3ds</t>
  </si>
  <si>
    <t xml:space="preserve">Pitch Design &amp; Sports Playing Surfaces </t>
  </si>
  <si>
    <t>A6 (Published)</t>
  </si>
  <si>
    <t>Authorised and Accepted-Construction (Shop Drawing)</t>
  </si>
  <si>
    <t>1:200</t>
  </si>
  <si>
    <t>CRA</t>
  </si>
  <si>
    <t>Change Request Authorization</t>
  </si>
  <si>
    <t>Zone Sheet 12</t>
  </si>
  <si>
    <t>M1</t>
  </si>
  <si>
    <t>Mez Upper Lobby +909.0</t>
  </si>
  <si>
    <t>ArcGIS</t>
  </si>
  <si>
    <t>.skp</t>
  </si>
  <si>
    <t>Specialist Lighting (Services and Systems)</t>
  </si>
  <si>
    <t>A7 (Published)</t>
  </si>
  <si>
    <t>Authorised and Accepted-As Built</t>
  </si>
  <si>
    <t>1:250</t>
  </si>
  <si>
    <t>CDT</t>
  </si>
  <si>
    <t>Clash Detection Report</t>
  </si>
  <si>
    <t>CPM</t>
  </si>
  <si>
    <t>Contracts &amp; Procurement</t>
  </si>
  <si>
    <t>Zone Sheet 13</t>
  </si>
  <si>
    <t>M2</t>
  </si>
  <si>
    <t>Mez Loft MEP  +931.10</t>
  </si>
  <si>
    <t>.docx</t>
  </si>
  <si>
    <t xml:space="preserve">Acoustics </t>
  </si>
  <si>
    <t>A8(Published)</t>
  </si>
  <si>
    <t>Authorised and Accepted-In Use</t>
  </si>
  <si>
    <t>CLM</t>
  </si>
  <si>
    <t>Claim</t>
  </si>
  <si>
    <t>CIN</t>
  </si>
  <si>
    <t>Controls &amp; Instrumentation</t>
  </si>
  <si>
    <t>Zone Sheet 14</t>
  </si>
  <si>
    <t>RL</t>
  </si>
  <si>
    <t>Roof Level</t>
  </si>
  <si>
    <t>.rvt,.nwd,.ifc</t>
  </si>
  <si>
    <t xml:space="preserve">AV / Broadcast </t>
  </si>
  <si>
    <t>1:350</t>
  </si>
  <si>
    <t>Client Instruction</t>
  </si>
  <si>
    <t>CRE</t>
  </si>
  <si>
    <t>Creative Designer</t>
  </si>
  <si>
    <t>Zone Sheet 15</t>
  </si>
  <si>
    <t>.nwc,.nwd,.ifc</t>
  </si>
  <si>
    <t xml:space="preserve">Security </t>
  </si>
  <si>
    <t>CRS</t>
  </si>
  <si>
    <t>Comments Resolution Sheet</t>
  </si>
  <si>
    <t>CDM</t>
  </si>
  <si>
    <t>Crowd Management</t>
  </si>
  <si>
    <t>Zone Sheet 16</t>
  </si>
  <si>
    <t xml:space="preserve">Vertical Transport </t>
  </si>
  <si>
    <t>CON</t>
  </si>
  <si>
    <t>Contract</t>
  </si>
  <si>
    <t>CUL</t>
  </si>
  <si>
    <t>Culvert</t>
  </si>
  <si>
    <t>Zone Sheet 17</t>
  </si>
  <si>
    <t>.docx,.pdf</t>
  </si>
  <si>
    <t xml:space="preserve">Facade &amp; Roof Envelope </t>
  </si>
  <si>
    <t>COS</t>
  </si>
  <si>
    <t>Cost Estimate</t>
  </si>
  <si>
    <t>DRN</t>
  </si>
  <si>
    <t>Drainage</t>
  </si>
  <si>
    <t>Zone Sheet 18</t>
  </si>
  <si>
    <t>.xer,.pdf</t>
  </si>
  <si>
    <t xml:space="preserve">Crowd Modelling / Pedestrian Flow </t>
  </si>
  <si>
    <t>DAB</t>
  </si>
  <si>
    <t>Dashboard</t>
  </si>
  <si>
    <t>ELP</t>
  </si>
  <si>
    <t>Earthing &amp; Lighting Protection</t>
  </si>
  <si>
    <t>Zone Sheet 19</t>
  </si>
  <si>
    <t>.xls,.pdf</t>
  </si>
  <si>
    <t xml:space="preserve">Sustainability </t>
  </si>
  <si>
    <t>DOA</t>
  </si>
  <si>
    <t>Delegation of Authority</t>
  </si>
  <si>
    <t>ELE</t>
  </si>
  <si>
    <t>Zone Sheet 20</t>
  </si>
  <si>
    <t>.msp,.pdf</t>
  </si>
  <si>
    <t xml:space="preserve">Accessibility </t>
  </si>
  <si>
    <t>DES</t>
  </si>
  <si>
    <t>Design</t>
  </si>
  <si>
    <t>ELC</t>
  </si>
  <si>
    <t>Electrical Containment</t>
  </si>
  <si>
    <t>Zone Sheet 21</t>
  </si>
  <si>
    <t xml:space="preserve">Architect of Record </t>
  </si>
  <si>
    <t>MTX</t>
  </si>
  <si>
    <t>Distribution Matrix</t>
  </si>
  <si>
    <t>ENV</t>
  </si>
  <si>
    <t>Environmental</t>
  </si>
  <si>
    <t>Zone Sheet 22</t>
  </si>
  <si>
    <t>.indd</t>
  </si>
  <si>
    <t xml:space="preserve">Food &amp; Beverage &amp; Operations </t>
  </si>
  <si>
    <t>DSS</t>
  </si>
  <si>
    <t>Dossier</t>
  </si>
  <si>
    <t>EQP</t>
  </si>
  <si>
    <t>Equipment</t>
  </si>
  <si>
    <t>Zone Sheet 23</t>
  </si>
  <si>
    <t>.pdf, .indd</t>
  </si>
  <si>
    <t xml:space="preserve">Utilities, Roads &amp; Infrastructure </t>
  </si>
  <si>
    <t>DRW</t>
  </si>
  <si>
    <t>FAC</t>
  </si>
  <si>
    <t>Zone Sheet 24</t>
  </si>
  <si>
    <t>.rvt,.nwc,.ifc</t>
  </si>
  <si>
    <t xml:space="preserve">Traffic &amp; Car Parking </t>
  </si>
  <si>
    <t>ENI</t>
  </si>
  <si>
    <t>Engineer Instruction</t>
  </si>
  <si>
    <t>FED</t>
  </si>
  <si>
    <t>Federated</t>
  </si>
  <si>
    <t>Zone Sheet 25</t>
  </si>
  <si>
    <t>.gdb</t>
  </si>
  <si>
    <t xml:space="preserve">Technology (ICT) </t>
  </si>
  <si>
    <t>EXP</t>
  </si>
  <si>
    <t>Expenses</t>
  </si>
  <si>
    <t>FIN</t>
  </si>
  <si>
    <t>Finance</t>
  </si>
  <si>
    <t>Zone Sheet 26</t>
  </si>
  <si>
    <t xml:space="preserve">Sports &amp; Specialist Lighting </t>
  </si>
  <si>
    <t>HOC</t>
  </si>
  <si>
    <t>Handover Certificate</t>
  </si>
  <si>
    <t>FAE</t>
  </si>
  <si>
    <t>Fire Alarm &amp; Emergency Lighting</t>
  </si>
  <si>
    <t>Zone Sheet 27</t>
  </si>
  <si>
    <t xml:space="preserve">BMS &amp; Access Control </t>
  </si>
  <si>
    <t>IRT</t>
  </si>
  <si>
    <t>Incident Report</t>
  </si>
  <si>
    <t>FLS</t>
  </si>
  <si>
    <t>Fire Life Safety</t>
  </si>
  <si>
    <t>Zone Sheet 28</t>
  </si>
  <si>
    <t xml:space="preserve">Waste Management </t>
  </si>
  <si>
    <t>ITP</t>
  </si>
  <si>
    <t>Inspection &amp; Test Plan</t>
  </si>
  <si>
    <t>FPR</t>
  </si>
  <si>
    <t>Fire Protection</t>
  </si>
  <si>
    <t xml:space="preserve">Health &amp; Safety in Design </t>
  </si>
  <si>
    <t>INS</t>
  </si>
  <si>
    <t>Instruction</t>
  </si>
  <si>
    <t>Furniture Fixture &amp; Equipment</t>
  </si>
  <si>
    <t xml:space="preserve">Wind </t>
  </si>
  <si>
    <t>IAB</t>
  </si>
  <si>
    <t>Insurance and Bonds</t>
  </si>
  <si>
    <t>GEN</t>
  </si>
  <si>
    <t>General</t>
  </si>
  <si>
    <t>INV</t>
  </si>
  <si>
    <t>Invoice</t>
  </si>
  <si>
    <t>GIS</t>
  </si>
  <si>
    <t>Geospatial Information System</t>
  </si>
  <si>
    <t>LAR</t>
  </si>
  <si>
    <t>Laydown Area Access Request</t>
  </si>
  <si>
    <t>GEH</t>
  </si>
  <si>
    <t>Geotechnical &amp; Hydraulics</t>
  </si>
  <si>
    <t>LTR</t>
  </si>
  <si>
    <t>Letter</t>
  </si>
  <si>
    <t>GRA</t>
  </si>
  <si>
    <t>Graphics</t>
  </si>
  <si>
    <t>LIC</t>
  </si>
  <si>
    <t>License</t>
  </si>
  <si>
    <t>HSE</t>
  </si>
  <si>
    <t>Health and Safety</t>
  </si>
  <si>
    <t>LST</t>
  </si>
  <si>
    <t>List</t>
  </si>
  <si>
    <t>EHV</t>
  </si>
  <si>
    <t>High Voltage</t>
  </si>
  <si>
    <t>MAN</t>
  </si>
  <si>
    <t>Manual</t>
  </si>
  <si>
    <t>HVC</t>
  </si>
  <si>
    <t>HVAC</t>
  </si>
  <si>
    <t>MPL</t>
  </si>
  <si>
    <t>Master Plan</t>
  </si>
  <si>
    <t>ICT</t>
  </si>
  <si>
    <t>Information &amp; Communication Technology</t>
  </si>
  <si>
    <t>MAR</t>
  </si>
  <si>
    <t>Material Approval Request</t>
  </si>
  <si>
    <t>INF</t>
  </si>
  <si>
    <t>MIR</t>
  </si>
  <si>
    <t>Material Inspection Request</t>
  </si>
  <si>
    <t>Installation</t>
  </si>
  <si>
    <t>MST</t>
  </si>
  <si>
    <t>Method Statement</t>
  </si>
  <si>
    <t>ITS</t>
  </si>
  <si>
    <t>Intelligent Transportation System</t>
  </si>
  <si>
    <t>MOM</t>
  </si>
  <si>
    <t>Minutes of Meeting</t>
  </si>
  <si>
    <t>INT</t>
  </si>
  <si>
    <t>MIX</t>
  </si>
  <si>
    <t>Mix Design</t>
  </si>
  <si>
    <t>IRR</t>
  </si>
  <si>
    <t>Irrigation</t>
  </si>
  <si>
    <t>KNL</t>
  </si>
  <si>
    <t>Kitchen &amp; Laundry</t>
  </si>
  <si>
    <t>MRP</t>
  </si>
  <si>
    <t>Monthly Report</t>
  </si>
  <si>
    <t>LSE</t>
  </si>
  <si>
    <t>NOC</t>
  </si>
  <si>
    <t>No Objection Certificate</t>
  </si>
  <si>
    <t>ELL</t>
  </si>
  <si>
    <t>Lighting</t>
  </si>
  <si>
    <t>NCR</t>
  </si>
  <si>
    <t>Non-Conformance Report</t>
  </si>
  <si>
    <t>LTC</t>
  </si>
  <si>
    <t>Lighting Control</t>
  </si>
  <si>
    <t>NDA</t>
  </si>
  <si>
    <t>Non-Disclosure Agreement</t>
  </si>
  <si>
    <t>ELV</t>
  </si>
  <si>
    <t>Low Voltage</t>
  </si>
  <si>
    <t>NTC</t>
  </si>
  <si>
    <t>Notice</t>
  </si>
  <si>
    <t>LPG</t>
  </si>
  <si>
    <t>OMM</t>
  </si>
  <si>
    <t>Operation &amp; Maintenance Manual</t>
  </si>
  <si>
    <t>Marine Engineering</t>
  </si>
  <si>
    <t>ORC</t>
  </si>
  <si>
    <t>Organizational Chart</t>
  </si>
  <si>
    <t>Master Planning</t>
  </si>
  <si>
    <t>OTR</t>
  </si>
  <si>
    <t>Overtime Request</t>
  </si>
  <si>
    <t>MEC</t>
  </si>
  <si>
    <t>PAP</t>
  </si>
  <si>
    <t>Payment Application</t>
  </si>
  <si>
    <t>EMV</t>
  </si>
  <si>
    <t>Medium Voltage</t>
  </si>
  <si>
    <t>PYC</t>
  </si>
  <si>
    <t>Payment Certificate</t>
  </si>
  <si>
    <t>MEPF</t>
  </si>
  <si>
    <t>PRM</t>
  </si>
  <si>
    <t>Permit</t>
  </si>
  <si>
    <t>NTD</t>
  </si>
  <si>
    <t>Non-Technical Document</t>
  </si>
  <si>
    <t>PAF</t>
  </si>
  <si>
    <t>Personnel Approval Form</t>
  </si>
  <si>
    <t>OSE</t>
  </si>
  <si>
    <t>Operating Supplies and Equipment</t>
  </si>
  <si>
    <t>PIV</t>
  </si>
  <si>
    <t>Photographs, Images &amp; Videos</t>
  </si>
  <si>
    <t>OTH</t>
  </si>
  <si>
    <t>Others</t>
  </si>
  <si>
    <t>PLN</t>
  </si>
  <si>
    <t>PLB</t>
  </si>
  <si>
    <t>PLT</t>
  </si>
  <si>
    <t>Plant</t>
  </si>
  <si>
    <t>PTW</t>
  </si>
  <si>
    <t>Potable Water</t>
  </si>
  <si>
    <t>PPG</t>
  </si>
  <si>
    <t>Policy &amp; Procedure</t>
  </si>
  <si>
    <t>PJC</t>
  </si>
  <si>
    <t>Project Control</t>
  </si>
  <si>
    <t>PQS</t>
  </si>
  <si>
    <t>Prequalification Submittal</t>
  </si>
  <si>
    <t>QMS</t>
  </si>
  <si>
    <t>Quality Management</t>
  </si>
  <si>
    <t>PRE</t>
  </si>
  <si>
    <t>Presentation</t>
  </si>
  <si>
    <t>RID</t>
  </si>
  <si>
    <t>Rides</t>
  </si>
  <si>
    <t>PRO</t>
  </si>
  <si>
    <t>Procedure</t>
  </si>
  <si>
    <t>ERL</t>
  </si>
  <si>
    <t>Road Lighting</t>
  </si>
  <si>
    <t>PEP</t>
  </si>
  <si>
    <t>Project Execution Plan</t>
  </si>
  <si>
    <t>RKW</t>
  </si>
  <si>
    <t>Rockwork</t>
  </si>
  <si>
    <t>PRS</t>
  </si>
  <si>
    <t>Proposal</t>
  </si>
  <si>
    <t>SEC</t>
  </si>
  <si>
    <t>Security System</t>
  </si>
  <si>
    <t>POR</t>
  </si>
  <si>
    <t>Purchase Order</t>
  </si>
  <si>
    <t>SEW</t>
  </si>
  <si>
    <t>Sewage</t>
  </si>
  <si>
    <t>REG</t>
  </si>
  <si>
    <t>Register</t>
  </si>
  <si>
    <t>SHW</t>
  </si>
  <si>
    <t>Show</t>
  </si>
  <si>
    <t>SGN</t>
  </si>
  <si>
    <t>Signage / Wayfinding</t>
  </si>
  <si>
    <t>RFC</t>
  </si>
  <si>
    <t>Request For Change</t>
  </si>
  <si>
    <t>ESP</t>
  </si>
  <si>
    <t>Small Power</t>
  </si>
  <si>
    <t>RSM</t>
  </si>
  <si>
    <t>Resume</t>
  </si>
  <si>
    <t>SSC</t>
  </si>
  <si>
    <t>Smart City</t>
  </si>
  <si>
    <t>SVR</t>
  </si>
  <si>
    <t>Safety Violation Report</t>
  </si>
  <si>
    <t>SPL</t>
  </si>
  <si>
    <t>Specialist Lighting</t>
  </si>
  <si>
    <t>SMP</t>
  </si>
  <si>
    <t>Sample</t>
  </si>
  <si>
    <t>SWD</t>
  </si>
  <si>
    <t>Storm Water Drainage</t>
  </si>
  <si>
    <t>SCH</t>
  </si>
  <si>
    <t>Schedule</t>
  </si>
  <si>
    <t>STR</t>
  </si>
  <si>
    <t>Shop Drawing</t>
  </si>
  <si>
    <t>SUR</t>
  </si>
  <si>
    <t>Surveying / Mapping</t>
  </si>
  <si>
    <t>SIN</t>
  </si>
  <si>
    <t>Site Instruction</t>
  </si>
  <si>
    <t>SUS</t>
  </si>
  <si>
    <t>Sustainability</t>
  </si>
  <si>
    <t>SOR</t>
  </si>
  <si>
    <t>Site Observation Report</t>
  </si>
  <si>
    <t>TEL</t>
  </si>
  <si>
    <t>Telecommunication</t>
  </si>
  <si>
    <t>SPE</t>
  </si>
  <si>
    <t>Specification</t>
  </si>
  <si>
    <t>TNC</t>
  </si>
  <si>
    <t>Testing/Commissioning</t>
  </si>
  <si>
    <t>STD</t>
  </si>
  <si>
    <t>Standard</t>
  </si>
  <si>
    <t>TFC</t>
  </si>
  <si>
    <t>Traffic System</t>
  </si>
  <si>
    <t>SFA</t>
  </si>
  <si>
    <t>Statement of Final Account</t>
  </si>
  <si>
    <t>UTI</t>
  </si>
  <si>
    <t>Utilities</t>
  </si>
  <si>
    <t>Strategy</t>
  </si>
  <si>
    <t>VNT</t>
  </si>
  <si>
    <t>Ventilation Ductwork</t>
  </si>
  <si>
    <t>TOC</t>
  </si>
  <si>
    <t>Taking Over Certificate</t>
  </si>
  <si>
    <t>VTR</t>
  </si>
  <si>
    <t>Vertical Transportation</t>
  </si>
  <si>
    <t>TOR</t>
  </si>
  <si>
    <t>Task Order</t>
  </si>
  <si>
    <t>VES</t>
  </si>
  <si>
    <t>Voice Evacuation</t>
  </si>
  <si>
    <t>TEM</t>
  </si>
  <si>
    <t>Template</t>
  </si>
  <si>
    <t>WSM</t>
  </si>
  <si>
    <t>TDC</t>
  </si>
  <si>
    <t>Tender Document</t>
  </si>
  <si>
    <t>WTR</t>
  </si>
  <si>
    <t>Water</t>
  </si>
  <si>
    <t>TRP</t>
  </si>
  <si>
    <t>Test Report</t>
  </si>
  <si>
    <t>CTV</t>
  </si>
  <si>
    <t>CCTV System</t>
  </si>
  <si>
    <t>TMS</t>
  </si>
  <si>
    <t>Time Sheet</t>
  </si>
  <si>
    <t>ACS</t>
  </si>
  <si>
    <t>Access Control System</t>
  </si>
  <si>
    <t>VOR</t>
  </si>
  <si>
    <t>Variation Order</t>
  </si>
  <si>
    <t>EFL</t>
  </si>
  <si>
    <t>Facade Lighting</t>
  </si>
  <si>
    <t>WAR</t>
  </si>
  <si>
    <t>Warranty / Guarantees</t>
  </si>
  <si>
    <t>WRP</t>
  </si>
  <si>
    <t>Weekly Report</t>
  </si>
  <si>
    <t>SMK</t>
  </si>
  <si>
    <t>Smoke Ductwork</t>
  </si>
  <si>
    <t>WIR</t>
  </si>
  <si>
    <t>Work Inspection Request</t>
  </si>
  <si>
    <t>STL</t>
  </si>
  <si>
    <t>Steel Structure</t>
  </si>
  <si>
    <t>RLM</t>
  </si>
  <si>
    <t>RedLine Mark Drawing</t>
  </si>
  <si>
    <t>FWR</t>
  </si>
  <si>
    <t>Formwork</t>
  </si>
  <si>
    <t>MDP</t>
  </si>
  <si>
    <t>Master Information Delivery Plan</t>
  </si>
  <si>
    <t>ELS</t>
  </si>
  <si>
    <t>Emergency Lighting system</t>
  </si>
  <si>
    <t>TDP</t>
  </si>
  <si>
    <t>Task Information Delivery Plan</t>
  </si>
  <si>
    <t>EBW</t>
  </si>
  <si>
    <t>Electrical Builder Works</t>
  </si>
  <si>
    <t>MBW</t>
  </si>
  <si>
    <t>Mechanical Builder Works</t>
  </si>
  <si>
    <t>EBC</t>
  </si>
  <si>
    <t>Electrical Busway</t>
  </si>
  <si>
    <t>JINGGONG</t>
  </si>
  <si>
    <t>FALLPROTEC</t>
  </si>
  <si>
    <t>TKE</t>
  </si>
  <si>
    <t>SECE01</t>
  </si>
  <si>
    <t>WFT</t>
  </si>
  <si>
    <t>LOG</t>
  </si>
  <si>
    <t>Logistics</t>
  </si>
  <si>
    <t>Provisional Sums</t>
  </si>
  <si>
    <t>PS1 - Theatre Equipment &amp; Fitout</t>
  </si>
  <si>
    <t>Fit-out</t>
  </si>
  <si>
    <t>Shop Drawings | Provisional Sums | PS1 - Theatre Equipment &amp; Fitout | Fit-out</t>
  </si>
  <si>
    <t>QP.C.PS.GEN.GEN.2590</t>
  </si>
  <si>
    <t>110</t>
  </si>
  <si>
    <t>Stage Engineering</t>
  </si>
  <si>
    <t>Shop Drawings | Provisional Sums | PS1 - Theatre Equipment &amp; Fitout | Stage Engineering</t>
  </si>
  <si>
    <t>QP.C.PS.GEN.GEN.2560</t>
  </si>
  <si>
    <t>PS2 - IT/AV and Specialist Media</t>
  </si>
  <si>
    <t>AV / Broadcast</t>
  </si>
  <si>
    <t>Shop Drawings | Provisional Sums | PS2 - IT/AV and Specialist Media | AV / Broadcast</t>
  </si>
  <si>
    <t>QP.C.PS.GEN.GEN.1200</t>
  </si>
  <si>
    <t>180</t>
  </si>
  <si>
    <t>Technology (ICT)</t>
  </si>
  <si>
    <t>Shop Drawings | Provisional Sums | PS2 - IT/AV and Specialist Media | Technology (ICT)</t>
  </si>
  <si>
    <t>QP.C.PS.GEN.GEN.1810</t>
  </si>
  <si>
    <t>PS3 - Specialist Lighting</t>
  </si>
  <si>
    <t>Control Systems</t>
  </si>
  <si>
    <t>Shop Drawings | Provisional Sums | PS3 - Specialist Lighting | Control Systems</t>
  </si>
  <si>
    <t>QP.C.PS.GEN.GEN.1880</t>
  </si>
  <si>
    <t>60</t>
  </si>
  <si>
    <t>Lighting Systems</t>
  </si>
  <si>
    <t>Shop Drawings | Provisional Sums | PS3 - Specialist Lighting | Lighting Systems</t>
  </si>
  <si>
    <t>QP.C.PS.GEN.GEN.1850</t>
  </si>
  <si>
    <t>PS4 - FOH Fitout</t>
  </si>
  <si>
    <t>Conveying System Finishes</t>
  </si>
  <si>
    <t>Shop Drawings | Provisional Sums | PS4 - FOH Fitout | Conveying System Finishes</t>
  </si>
  <si>
    <t>QP.C.PS.GEN.GEN.2120</t>
  </si>
  <si>
    <t>150</t>
  </si>
  <si>
    <t>HVAC System</t>
  </si>
  <si>
    <t>Shop Drawings | Provisional Sums | PS4 - FOH Fitout | HVAC System</t>
  </si>
  <si>
    <t>QP.C.PS.GEN.GEN.2100</t>
  </si>
  <si>
    <t>90</t>
  </si>
  <si>
    <t>ID Finishes</t>
  </si>
  <si>
    <t>Shop Drawings | Provisional Sums | PS4 - FOH Fitout | ID Finishes</t>
  </si>
  <si>
    <t>QP.C.PS.GEN.GEN.1930</t>
  </si>
  <si>
    <t>Shop Drawings | Provisional Sums | PS4 - FOH Fitout | Water Features</t>
  </si>
  <si>
    <t>QP.C.PS.GEN.GEN.1960</t>
  </si>
  <si>
    <t>120</t>
  </si>
  <si>
    <t>PS5 - Signage and Wayfinding</t>
  </si>
  <si>
    <t>Shop Drawings | Provisional Sums | PS5 - Signage and Wayfinding</t>
  </si>
  <si>
    <t>QP.C.PS.GEN.GEN.2140</t>
  </si>
  <si>
    <t>PS6 - Soft Landscaping</t>
  </si>
  <si>
    <t>Shop Drawings | Provisional Sums | PS6 - Soft Landscaping</t>
  </si>
  <si>
    <t>QP.C.PS.GEN.GEN.2180</t>
  </si>
  <si>
    <t>160</t>
  </si>
  <si>
    <t>PS7 - Promenade Bridge</t>
  </si>
  <si>
    <t>Concrete Superstructure</t>
  </si>
  <si>
    <t>Shop Drawings | Provisional Sums | PS7 - Promenade Bridge | Concrete Superstructure</t>
  </si>
  <si>
    <t>QP.C.PS.GEN.GEN.2360</t>
  </si>
  <si>
    <t>30</t>
  </si>
  <si>
    <t>Shop Drawings | Provisional Sums | PS7 - Promenade Bridge | Foundation</t>
  </si>
  <si>
    <t>QP.C.PS.GEN.GEN.2260</t>
  </si>
  <si>
    <t>Shop Drawings | Provisional Sums | PS7 - Promenade Bridge | Landscape</t>
  </si>
  <si>
    <t>QP.C.PS.GEN.GEN.2320</t>
  </si>
  <si>
    <t>Promenade Bridge MEP</t>
  </si>
  <si>
    <t>Shop Drawings | Provisional Sums | PS7 - Promenade Bridge | Promenade Bridge MEP</t>
  </si>
  <si>
    <t>QP.C.PS.GEN.GEN.2340</t>
  </si>
  <si>
    <t>PS8 - Security Equipment</t>
  </si>
  <si>
    <t>Shop Drawings | Provisional Sums | PS8 - Security Equipment | Technology (ICT)</t>
  </si>
  <si>
    <t>QP.C.PS.GEN.GEN.2400</t>
  </si>
  <si>
    <t>Traffic &amp; Car Parking</t>
  </si>
  <si>
    <t>Shop Drawings | Provisional Sums | PS8 - Security Equipment | Traffic &amp; Car Parking</t>
  </si>
  <si>
    <t>QP.C.PS.GEN.GEN.2500</t>
  </si>
  <si>
    <t>GRADING PLAN - LOBBY LEVEL  SHEET 01 OF 16</t>
  </si>
  <si>
    <t>GRADING PLAN - LOBBY LEVEL  SHEET 02 OF 16</t>
  </si>
  <si>
    <t>GRADING PLAN - LOBBY LEVEL  SHEET 03 OF 16</t>
  </si>
  <si>
    <t>GRADING PLAN - LOBBY LEVEL  SHEET 04 OF 16</t>
  </si>
  <si>
    <t>GRADING PLAN - LOBBY LEVEL  SHEET 05 OF 16</t>
  </si>
  <si>
    <t>GRADING PLAN - LOBBY LEVEL  SHEET 06 OF 16</t>
  </si>
  <si>
    <t>GRADING PLAN - LOBBY LEVEL  SHEET 07 OF 16</t>
  </si>
  <si>
    <t>GRADING PLAN - LOBBY LEVEL  SHEET 08 OF 16</t>
  </si>
  <si>
    <t>GRADING PLAN - LOBBY LEVEL  SHEET 09 OF 16</t>
  </si>
  <si>
    <t>GRADING PLAN - PROMENADE LEVEL  SHEET 10 OF 16</t>
  </si>
  <si>
    <t>GRADING PLAN - PROMENADE LEVEL  SHEET 11 OF 16</t>
  </si>
  <si>
    <t>GRADING PLAN - PROMENADE LEVEL  SHEET 12 OF 16</t>
  </si>
  <si>
    <t>GRADING PLAN - PROMENADE LEVEL  SHEET 13 OF 16</t>
  </si>
  <si>
    <t>GRADING PLAN - PROMENADE LEVEL  SHEET 14 OF 16</t>
  </si>
  <si>
    <t>GRADING PLAN - PROMENADE LEVEL  SHEET 15 OF 16</t>
  </si>
  <si>
    <t>GRADING PLAN - PROMENADE LEVEL  SHEET 16 OF 16</t>
  </si>
  <si>
    <t>ROYAL EVACUATION ROUTE PLAN AND PROFILE SHEET 01 OF 01</t>
  </si>
  <si>
    <t>ENTRY/EXIT TO VIP TUNNEL PLAN AND PROFILE SHEET 01 OF 01</t>
  </si>
  <si>
    <t>ENTRY/EXIT TO TRUCK EVACUATION PLAN AND PROFILE  SHEET 01 OF 01</t>
  </si>
  <si>
    <t>ENTRY/EXIT TO PARKING B1 PLAN AND PROFILE SHEET 01 OF 01</t>
  </si>
  <si>
    <t>SITE EXCAVATION FOR RETAINING WALLS &amp; CLIFF STEPS OVERALL KEYPLAN</t>
  </si>
  <si>
    <t>SITE EXCAVATION FOR RETAINING WALLS &amp; CLIFF STEPS PLAN SHEET 01 OF 09</t>
  </si>
  <si>
    <t>SITE EXCAVATION FOR RETAINING WALLS &amp; CLIFF STEPS PLAN SHEET 02 OF 09</t>
  </si>
  <si>
    <t>SITE EXCAVATION FOR RETAINING WALLS &amp; CLIFF STEPS PLAN SHEET 03 OF 09</t>
  </si>
  <si>
    <t>SITE EXCAVATION FOR RETAINING WALLS &amp; CLIFF STEPS PLAN SHEET 04 OF 09</t>
  </si>
  <si>
    <t>SITE EXCAVATION FOR RETAINING WALLS &amp; CLIFF STEPS PLAN SHEET 05 OF 09</t>
  </si>
  <si>
    <t>SITE EXCAVATION FOR RETAINING WALLS &amp; CLIFF STEPS PLAN SHEET 06 OF 09</t>
  </si>
  <si>
    <t>SITE EXCAVATION FOR RETAINING WALLS &amp; CLIFF STEPS PLAN SHEET 07 OF 09</t>
  </si>
  <si>
    <t>SITE EXCAVATION FOR RETAINING WALLS &amp; CLIFF STEPS PLAN SHEET 08 OF 09</t>
  </si>
  <si>
    <t>SITE EXCAVATION FOR RETAINING WALLS &amp; CLIFF STEPS PLAN SHEET 09 OF 09</t>
  </si>
  <si>
    <t>SITE EXCAVATION FOR RETAINING WALLS &amp; CLIFF STEPS SECTIONS SHEET 01 OF 05</t>
  </si>
  <si>
    <t>SITE EXCAVATION FOR RETAINING WALLS &amp; CLIFF STEPS SECTIONS SHEET 02 OF 05</t>
  </si>
  <si>
    <t>SITE EXCAVATION FOR RETAINING WALLS &amp; CLIFF STEPS SECTIONS SHEET 03 OF 05</t>
  </si>
  <si>
    <t>SITE EXCAVATION FOR RETAINING WALLS &amp; CLIFF STEPS SECTIONS SHEET 04 OF 05</t>
  </si>
  <si>
    <t>SITE EXCAVATION FOR RETAINING WALLS &amp; CLIFF STEPS SECTIONS SHEET 05 OF 05</t>
  </si>
  <si>
    <t>SITE EXCAVATION FOR RETAINING WALLS &amp; CLIFF STEPS POINTS TABLE SHEET 01 OF 08</t>
  </si>
  <si>
    <t>SITE EXCAVATION FOR RETAINING WALLS &amp; CLIFF STEPS POINTS TABLE SHEET 02 OF 08</t>
  </si>
  <si>
    <t>SITE EXCAVATION FOR RETAINING WALLS &amp; CLIFF STEPS POINTS TABLE SHEET 03 OF 08</t>
  </si>
  <si>
    <t>SITE EXCAVATION FOR RETAINING WALLS &amp; CLIFF STEPS POINTS TABLE SHEET 04 OF 08</t>
  </si>
  <si>
    <t>SITE EXCAVATION FOR RETAINING WALLS &amp; CLIFF STEPS POINTS TABLE SHEET 05 OF 08</t>
  </si>
  <si>
    <t>SITE EXCAVATION FOR RETAINING WALLS &amp; CLIFF STEPS POINTS TABLE SHEET 06 OF 08</t>
  </si>
  <si>
    <t>SITE EXCAVATION FOR RETAINING WALLS &amp; CLIFF STEPS POINTS TABLE SHEET 07 OF 08</t>
  </si>
  <si>
    <t>SITE EXCAVATION FOR RETAINING WALLS &amp; CLIFF STEPS POINTS TABLE SHEET 08 OF 08</t>
  </si>
  <si>
    <t>SITE GRADING FOR RETAINING WALLS &amp; CLIFF STEPS OVERALL KEYPLAN</t>
  </si>
  <si>
    <t>SITE GRADING FOR RETAINING WALLS &amp; CLIFF STEPS PLAN SHEET 01 OF 09</t>
  </si>
  <si>
    <t>SITE GRADING FOR RETAINING WALLS &amp; CLIFF STEPS PLAN SHEET 02 OF 09</t>
  </si>
  <si>
    <t>SITE GRADING FOR RETAINING WALLS &amp; CLIFF STEPS PLAN SHEET 03 OF 09</t>
  </si>
  <si>
    <t>SITE GRADING FOR RETAINING WALLS &amp; CLIFF STEPS PLAN SHEET 04 OF 09</t>
  </si>
  <si>
    <t>SITE GRADING FOR RETAINING WALLS &amp; CLIFF STEPS PLAN SHEET 05 OF 09</t>
  </si>
  <si>
    <t>SITE GRADINGFOR RETAINING WALLS &amp; CLIFF STEPS PLAN SHEET 06 OF 09</t>
  </si>
  <si>
    <t>SITE GRADING FOR RETAINING WALLS &amp; CLIFF STEPS PLAN SHEET 07 OF 09</t>
  </si>
  <si>
    <t>SITE GRADING FOR RETAINING WALLS &amp; CLIFF STEPS PLAN SHEET 08 OF 09</t>
  </si>
  <si>
    <t>SITE GRADING FOR RETAINING WALLS &amp; CLIFF STEPS PLAN SHEET 09 OF 09</t>
  </si>
  <si>
    <t>SITE GRADING FOR RETAINING WALLS &amp; CLIFF STEPS SECTIONS SHEET 01 OF 05</t>
  </si>
  <si>
    <t>SITE GRADING FOR RETAINING WALLS &amp; CLIFF STEPS SECTIONS SHEET 02 OF 05</t>
  </si>
  <si>
    <t>SITE GRADING FOR RETAINING WALLS &amp; CLIFF STEPS SECTIONS SHEET 03 OF 05</t>
  </si>
  <si>
    <t>SITE GRADING FOR RETAINING WALLS &amp; CLIFF STEPS SECTIONS SHEET 04 OF 05</t>
  </si>
  <si>
    <t>SITE GRADING FOR RETAINING WALLS &amp; CLIFF STEPS SECTIONS SHEET 05 OF 05</t>
  </si>
  <si>
    <t>SITE GRADING FOR RETAINING WALLS &amp; CLIFF STEPS POINTS TABLE SHEET 01 OF 08</t>
  </si>
  <si>
    <t>SITE GRADING  FOR RETAINING WALLS &amp; CLIFF STEPS POINTS TABLE SHEET 02 OF 08</t>
  </si>
  <si>
    <t>SITE GRADING  FOR RETAINING WALLS &amp; CLIFF STEPS POINTS TABLE SHEET 03 OF 08</t>
  </si>
  <si>
    <t>SITE GRADING  FOR RETAINING WALLS &amp; CLIFF STEPS POINTS TABLE SHEET 04 OF 08</t>
  </si>
  <si>
    <t>SITE GRADING  FOR RETAINING WALLS &amp; CLIFF STEPS POINTS TABLE SHEET 05 OF 08</t>
  </si>
  <si>
    <t>SITE GRADING  FOR RETAINING WALLS &amp; CLIFF STEPS POINTS TABLE SHEET 06 OF 08</t>
  </si>
  <si>
    <t>SITE GRADING  FOR RETAINING WALLS &amp; CLIFF STEPS POINTS TABLE SHEET 07 OF 08</t>
  </si>
  <si>
    <t>SITE GRADING  FOR RETAINING WALLS &amp; CLIFF STEPS POINTS TABLE SHEET 08 OF 08</t>
  </si>
  <si>
    <t>QF01012-BSB-MOD-3DM-LSE-00-Z00-00001</t>
  </si>
  <si>
    <t>0600</t>
  </si>
  <si>
    <t>0601</t>
  </si>
  <si>
    <t>0602</t>
  </si>
  <si>
    <t>0603</t>
  </si>
  <si>
    <t>0604</t>
  </si>
  <si>
    <t>0605</t>
  </si>
  <si>
    <t>0606</t>
  </si>
  <si>
    <t>0607</t>
  </si>
  <si>
    <t>0608</t>
  </si>
  <si>
    <t>0609</t>
  </si>
  <si>
    <t>0621</t>
  </si>
  <si>
    <t>0622</t>
  </si>
  <si>
    <t>0623</t>
  </si>
  <si>
    <t>0624</t>
  </si>
  <si>
    <t>0625</t>
  </si>
  <si>
    <t>0631</t>
  </si>
  <si>
    <t>0632</t>
  </si>
  <si>
    <t>0633</t>
  </si>
  <si>
    <t>0634</t>
  </si>
  <si>
    <t>0635</t>
  </si>
  <si>
    <t>0636</t>
  </si>
  <si>
    <t>0637</t>
  </si>
  <si>
    <t>0638</t>
  </si>
  <si>
    <t>0650</t>
  </si>
  <si>
    <t>0651</t>
  </si>
  <si>
    <t>0652</t>
  </si>
  <si>
    <t>0653</t>
  </si>
  <si>
    <t>0654</t>
  </si>
  <si>
    <t>0655</t>
  </si>
  <si>
    <t>0656</t>
  </si>
  <si>
    <t>0657</t>
  </si>
  <si>
    <t>0658</t>
  </si>
  <si>
    <t>0659</t>
  </si>
  <si>
    <t>0671</t>
  </si>
  <si>
    <t>0672</t>
  </si>
  <si>
    <t>0673</t>
  </si>
  <si>
    <t>0674</t>
  </si>
  <si>
    <t>0675</t>
  </si>
  <si>
    <t>0681</t>
  </si>
  <si>
    <t>0682</t>
  </si>
  <si>
    <t>0683</t>
  </si>
  <si>
    <t>0684</t>
  </si>
  <si>
    <t>0685</t>
  </si>
  <si>
    <t>0686</t>
  </si>
  <si>
    <t>0687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</si>
</sst>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[$-409]dd\-mmm\-yy;@"/>
    <numFmt numFmtId="165" formatCode="[$-409]d\-mmm\-yyyy;@"/>
  </numFmts>
  <fonts count="14" x14ac:knownFonts="1">
    <font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b/>
      <sz val="16"/>
      <color theme="1"/>
      <name val="Calibri"/>
      <family val="2"/>
    </font>
    <font>
      <sz val="10"/>
      <color theme="1"/>
      <name val="Calibri"/>
      <family val="2"/>
    </font>
    <font>
      <sz val="10"/>
      <color theme="0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sz val="10"/>
      <name val="Arial"/>
      <family val="2"/>
    </font>
    <font>
      <sz val="8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2"/>
      <color theme="1"/>
      <name val="Calibri"/>
      <family val="2"/>
    </font>
    <font>
      <sz val="10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F2CA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4D86"/>
        <bgColor indexed="64"/>
      </patternFill>
    </fill>
    <fill>
      <patternFill patternType="solid">
        <fgColor rgb="FF31869B"/>
        <bgColor indexed="64"/>
      </patternFill>
    </fill>
    <fill>
      <patternFill patternType="solid">
        <fgColor rgb="FF22403D"/>
        <bgColor indexed="64"/>
      </patternFill>
    </fill>
    <fill>
      <patternFill patternType="solid">
        <fgColor rgb="FFD5EDFF"/>
        <bgColor indexed="64"/>
      </patternFill>
    </fill>
    <fill>
      <patternFill patternType="solid">
        <fgColor rgb="FFCAE7EE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7" fillId="0" borderId="0"/>
  </cellStyleXfs>
  <cellXfs count="104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49" fontId="3" fillId="0" borderId="1" xfId="0" applyNumberFormat="1" applyFont="1" applyBorder="1" applyAlignment="1" applyProtection="1">
      <alignment horizontal="left" vertical="center"/>
      <protection locked="0"/>
    </xf>
    <xf numFmtId="49" fontId="3" fillId="0" borderId="1" xfId="0" applyNumberFormat="1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left" vertical="center"/>
      <protection locked="0"/>
    </xf>
    <xf numFmtId="0" fontId="3" fillId="0" borderId="2" xfId="0" applyFont="1" applyBorder="1" applyAlignment="1" applyProtection="1">
      <alignment horizontal="left" vertical="center"/>
      <protection locked="0"/>
    </xf>
    <xf numFmtId="49" fontId="0" fillId="0" borderId="0" xfId="0" applyNumberFormat="1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left" vertical="top"/>
    </xf>
    <xf numFmtId="49" fontId="0" fillId="0" borderId="0" xfId="0" applyNumberFormat="1" applyAlignment="1">
      <alignment horizontal="left" vertical="center"/>
    </xf>
    <xf numFmtId="49" fontId="0" fillId="0" borderId="1" xfId="0" applyNumberFormat="1" applyBorder="1" applyAlignment="1">
      <alignment horizontal="center"/>
    </xf>
    <xf numFmtId="49" fontId="0" fillId="2" borderId="1" xfId="0" applyNumberFormat="1" applyFill="1" applyBorder="1" applyAlignment="1">
      <alignment horizontal="center"/>
    </xf>
    <xf numFmtId="49" fontId="0" fillId="0" borderId="1" xfId="0" applyNumberFormat="1" applyBorder="1"/>
    <xf numFmtId="0" fontId="5" fillId="3" borderId="7" xfId="0" applyFont="1" applyFill="1" applyBorder="1" applyAlignment="1">
      <alignment horizontal="left" vertical="center"/>
    </xf>
    <xf numFmtId="0" fontId="0" fillId="4" borderId="6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165" fontId="3" fillId="3" borderId="1" xfId="0" applyNumberFormat="1" applyFont="1" applyFill="1" applyBorder="1" applyAlignment="1">
      <alignment horizontal="center" vertical="center"/>
    </xf>
    <xf numFmtId="165" fontId="5" fillId="0" borderId="1" xfId="0" applyNumberFormat="1" applyFont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165" fontId="3" fillId="0" borderId="1" xfId="0" applyNumberFormat="1" applyFont="1" applyBorder="1" applyAlignment="1" applyProtection="1">
      <alignment horizontal="center" vertical="center"/>
      <protection locked="0"/>
    </xf>
    <xf numFmtId="0" fontId="12" fillId="0" borderId="0" xfId="0" applyFont="1" applyAlignment="1">
      <alignment horizontal="center"/>
    </xf>
    <xf numFmtId="49" fontId="10" fillId="5" borderId="1" xfId="0" applyNumberFormat="1" applyFont="1" applyFill="1" applyBorder="1" applyAlignment="1">
      <alignment horizontal="center"/>
    </xf>
    <xf numFmtId="49" fontId="4" fillId="5" borderId="1" xfId="0" applyNumberFormat="1" applyFont="1" applyFill="1" applyBorder="1" applyAlignment="1">
      <alignment horizontal="left"/>
    </xf>
    <xf numFmtId="0" fontId="4" fillId="5" borderId="6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center" vertical="center" wrapText="1"/>
    </xf>
    <xf numFmtId="49" fontId="4" fillId="5" borderId="6" xfId="0" applyNumberFormat="1" applyFont="1" applyFill="1" applyBorder="1" applyAlignment="1">
      <alignment horizontal="center" vertical="top" wrapText="1"/>
    </xf>
    <xf numFmtId="1" fontId="4" fillId="5" borderId="6" xfId="0" applyNumberFormat="1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horizontal="center" vertical="center"/>
    </xf>
    <xf numFmtId="49" fontId="10" fillId="6" borderId="1" xfId="0" applyNumberFormat="1" applyFont="1" applyFill="1" applyBorder="1" applyAlignment="1">
      <alignment horizontal="center" vertical="center"/>
    </xf>
    <xf numFmtId="49" fontId="10" fillId="7" borderId="6" xfId="0" applyNumberFormat="1" applyFont="1" applyFill="1" applyBorder="1" applyAlignment="1">
      <alignment horizontal="center"/>
    </xf>
    <xf numFmtId="49" fontId="10" fillId="7" borderId="1" xfId="0" applyNumberFormat="1" applyFont="1" applyFill="1" applyBorder="1" applyAlignment="1">
      <alignment horizontal="center"/>
    </xf>
    <xf numFmtId="49" fontId="0" fillId="8" borderId="1" xfId="0" applyNumberFormat="1" applyFill="1" applyBorder="1" applyAlignment="1">
      <alignment horizontal="center"/>
    </xf>
    <xf numFmtId="49" fontId="0" fillId="9" borderId="1" xfId="0" applyNumberFormat="1" applyFill="1" applyBorder="1" applyAlignment="1">
      <alignment vertical="top"/>
    </xf>
    <xf numFmtId="0" fontId="3" fillId="3" borderId="3" xfId="0" applyFont="1" applyFill="1" applyBorder="1" applyAlignment="1">
      <alignment horizontal="left" vertical="center"/>
    </xf>
    <xf numFmtId="0" fontId="4" fillId="5" borderId="5" xfId="0" applyFont="1" applyFill="1" applyBorder="1" applyAlignment="1">
      <alignment horizontal="center" vertical="center"/>
    </xf>
    <xf numFmtId="49" fontId="5" fillId="0" borderId="1" xfId="0" applyNumberFormat="1" applyFont="1" applyBorder="1" applyAlignment="1">
      <alignment horizontal="left" vertical="center"/>
    </xf>
    <xf numFmtId="14" fontId="5" fillId="0" borderId="1" xfId="0" applyNumberFormat="1" applyFont="1" applyBorder="1" applyAlignment="1">
      <alignment horizontal="left" vertical="center"/>
    </xf>
    <xf numFmtId="49" fontId="0" fillId="9" borderId="1" xfId="0" applyNumberFormat="1" applyFill="1" applyBorder="1" applyAlignment="1">
      <alignment horizontal="center"/>
    </xf>
    <xf numFmtId="164" fontId="0" fillId="0" borderId="9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49" fontId="0" fillId="8" borderId="1" xfId="0" applyNumberFormat="1" applyFill="1" applyBorder="1"/>
    <xf numFmtId="49" fontId="0" fillId="9" borderId="1" xfId="0" applyNumberFormat="1" applyFill="1" applyBorder="1"/>
    <xf numFmtId="164" fontId="0" fillId="0" borderId="1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0" fontId="3" fillId="3" borderId="10" xfId="0" applyFont="1" applyFill="1" applyBorder="1" applyAlignment="1">
      <alignment horizontal="left" vertical="center"/>
    </xf>
    <xf numFmtId="49" fontId="3" fillId="0" borderId="9" xfId="0" applyNumberFormat="1" applyFont="1" applyBorder="1" applyAlignment="1" applyProtection="1">
      <alignment horizontal="left" vertical="center"/>
      <protection locked="0"/>
    </xf>
    <xf numFmtId="49" fontId="3" fillId="0" borderId="9" xfId="0" applyNumberFormat="1" applyFont="1" applyBorder="1" applyAlignment="1" applyProtection="1">
      <alignment horizontal="center" vertical="center"/>
      <protection locked="0"/>
    </xf>
    <xf numFmtId="0" fontId="3" fillId="3" borderId="9" xfId="0" applyFont="1" applyFill="1" applyBorder="1" applyAlignment="1">
      <alignment horizontal="left" vertical="center"/>
    </xf>
    <xf numFmtId="0" fontId="3" fillId="0" borderId="9" xfId="0" applyFont="1" applyBorder="1" applyAlignment="1" applyProtection="1">
      <alignment horizontal="left" vertical="center"/>
      <protection locked="0"/>
    </xf>
    <xf numFmtId="165" fontId="3" fillId="3" borderId="9" xfId="0" applyNumberFormat="1" applyFont="1" applyFill="1" applyBorder="1" applyAlignment="1">
      <alignment horizontal="center" vertical="center"/>
    </xf>
    <xf numFmtId="0" fontId="3" fillId="0" borderId="8" xfId="0" applyFont="1" applyBorder="1" applyAlignment="1" applyProtection="1">
      <alignment horizontal="left" vertical="center"/>
      <protection locked="0"/>
    </xf>
    <xf numFmtId="0" fontId="3" fillId="0" borderId="3" xfId="0" applyFont="1" applyBorder="1" applyAlignment="1">
      <alignment horizontal="left" vertical="center"/>
    </xf>
    <xf numFmtId="0" fontId="13" fillId="0" borderId="5" xfId="0" applyFont="1" applyBorder="1"/>
    <xf numFmtId="0" fontId="13" fillId="0" borderId="11" xfId="0" applyFont="1" applyBorder="1"/>
    <xf numFmtId="49" fontId="0" fillId="8" borderId="6" xfId="0" applyNumberFormat="1" applyFill="1" applyBorder="1" applyAlignment="1">
      <alignment horizontal="center"/>
    </xf>
    <xf numFmtId="49" fontId="0" fillId="8" borderId="9" xfId="0" applyNumberFormat="1" applyFill="1" applyBorder="1" applyAlignment="1">
      <alignment horizontal="center"/>
    </xf>
    <xf numFmtId="49" fontId="0" fillId="0" borderId="6" xfId="0" applyNumberFormat="1" applyBorder="1"/>
    <xf numFmtId="49" fontId="0" fillId="0" borderId="9" xfId="0" applyNumberFormat="1" applyBorder="1"/>
    <xf numFmtId="49" fontId="0" fillId="2" borderId="6" xfId="0" applyNumberFormat="1" applyFill="1" applyBorder="1" applyAlignment="1">
      <alignment horizontal="center"/>
    </xf>
    <xf numFmtId="49" fontId="0" fillId="2" borderId="9" xfId="0" applyNumberFormat="1" applyFill="1" applyBorder="1" applyAlignment="1">
      <alignment horizontal="center"/>
    </xf>
    <xf numFmtId="49" fontId="0" fillId="8" borderId="9" xfId="0" applyNumberFormat="1" applyFill="1" applyBorder="1"/>
    <xf numFmtId="49" fontId="0" fillId="9" borderId="6" xfId="0" applyNumberFormat="1" applyFill="1" applyBorder="1" applyAlignment="1">
      <alignment vertical="top"/>
    </xf>
    <xf numFmtId="49" fontId="0" fillId="9" borderId="9" xfId="0" applyNumberFormat="1" applyFill="1" applyBorder="1"/>
    <xf numFmtId="49" fontId="0" fillId="9" borderId="6" xfId="0" applyNumberFormat="1" applyFill="1" applyBorder="1" applyAlignment="1">
      <alignment horizontal="center"/>
    </xf>
    <xf numFmtId="49" fontId="0" fillId="9" borderId="9" xfId="0" applyNumberFormat="1" applyFill="1" applyBorder="1" applyAlignment="1">
      <alignment horizontal="center"/>
    </xf>
    <xf numFmtId="49" fontId="0" fillId="0" borderId="6" xfId="0" applyNumberFormat="1" applyBorder="1" applyAlignment="1">
      <alignment horizontal="center"/>
    </xf>
    <xf numFmtId="49" fontId="0" fillId="0" borderId="9" xfId="0" applyNumberFormat="1" applyBorder="1" applyAlignment="1">
      <alignment horizontal="center"/>
    </xf>
    <xf numFmtId="0" fontId="0" fillId="0" borderId="3" xfId="0" applyNumberFormat="1" applyBorder="1" applyAlignment="1">
      <alignment vertical="center"/>
    </xf>
    <xf numFmtId="0" fontId="0" fillId="0" borderId="5" xfId="0" applyNumberFormat="1" applyBorder="1" applyAlignment="1">
      <alignment vertical="center"/>
    </xf>
    <xf numFmtId="0" fontId="0" fillId="0" borderId="10" xfId="0" applyNumberFormat="1" applyBorder="1" applyAlignment="1">
      <alignment vertical="center"/>
    </xf>
    <xf numFmtId="0" fontId="0" fillId="0" borderId="1" xfId="0" applyNumberFormat="1" applyBorder="1" applyAlignment="1">
      <alignment vertical="center"/>
    </xf>
    <xf numFmtId="0" fontId="0" fillId="0" borderId="6" xfId="0" applyNumberFormat="1" applyBorder="1" applyAlignment="1">
      <alignment vertical="center"/>
    </xf>
    <xf numFmtId="0" fontId="0" fillId="0" borderId="9" xfId="0" applyNumberFormat="1" applyBorder="1" applyAlignment="1">
      <alignment vertical="center"/>
    </xf>
    <xf numFmtId="0" fontId="0" fillId="0" borderId="1" xfId="0" applyNumberFormat="1" applyBorder="1"/>
    <xf numFmtId="0" fontId="0" fillId="0" borderId="6" xfId="0" applyNumberFormat="1" applyBorder="1"/>
    <xf numFmtId="0" fontId="0" fillId="0" borderId="9" xfId="0" applyNumberFormat="1" applyBorder="1"/>
    <xf numFmtId="0" fontId="0" fillId="0" borderId="1" xfId="0" applyNumberFormat="1" applyBorder="1" applyAlignment="1">
      <alignment horizontal="center" vertical="center"/>
    </xf>
    <xf numFmtId="0" fontId="0" fillId="0" borderId="6" xfId="0" applyNumberFormat="1" applyBorder="1" applyAlignment="1">
      <alignment horizontal="center" vertical="center"/>
    </xf>
    <xf numFmtId="0" fontId="0" fillId="0" borderId="9" xfId="0" applyNumberForma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0" fontId="3" fillId="3" borderId="3" xfId="0" applyNumberFormat="1" applyFont="1" applyFill="1" applyBorder="1" applyAlignment="1" applyProtection="1">
      <alignment horizontal="left" vertical="center"/>
    </xf>
    <xf numFmtId="165" fontId="3" fillId="3" borderId="1" xfId="0" applyNumberFormat="1" applyFont="1" applyFill="1" applyBorder="1" applyAlignment="1" applyProtection="1">
      <alignment horizontal="center" vertical="center"/>
    </xf>
    <xf numFmtId="0" fontId="12" fillId="0" borderId="0" xfId="0" applyFont="1" applyAlignment="1">
      <alignment horizontal="center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/>
    </xf>
    <xf numFmtId="49" fontId="9" fillId="7" borderId="1" xfId="0" applyNumberFormat="1" applyFont="1" applyFill="1" applyBorder="1" applyAlignment="1">
      <alignment horizontal="center" vertical="center"/>
    </xf>
    <xf numFmtId="49" fontId="9" fillId="5" borderId="1" xfId="0" applyNumberFormat="1" applyFont="1" applyFill="1" applyBorder="1" applyAlignment="1">
      <alignment horizontal="center"/>
    </xf>
    <xf numFmtId="49" fontId="9" fillId="6" borderId="1" xfId="0" applyNumberFormat="1" applyFont="1" applyFill="1" applyBorder="1" applyAlignment="1">
      <alignment horizontal="center" vertical="center"/>
    </xf>
    <xf numFmtId="49" fontId="11" fillId="0" borderId="0" xfId="0" applyNumberFormat="1" applyFont="1" applyAlignment="1">
      <alignment horizontal="left" wrapText="1"/>
    </xf>
  </cellXfs>
  <cellStyles count="4">
    <cellStyle name="Normal" xfId="0" builtinId="0"/>
    <cellStyle name="Normal 2" xfId="3" xr:uid="{82DC9666-03C0-46D2-995D-BBC580F68A78}"/>
    <cellStyle name="Normal 3" xfId="1" xr:uid="{C505939E-CE2A-4B52-B3B3-7F801981A90D}"/>
    <cellStyle name="Normal 3 2" xfId="2" xr:uid="{9C3CEEB4-75CC-4C35-8164-91275B2FE9DF}"/>
  </cellStyles>
  <dxfs count="9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FFF2CA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CAE7EE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CAE7EE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CAE7EE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CAE7EE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FFF2CA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FFF2CA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numFmt numFmtId="30" formatCode="@"/>
      <fill>
        <patternFill patternType="solid">
          <fgColor indexed="64"/>
          <bgColor rgb="FF22403D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4" formatCode="[$-409]dd\-mmm\-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64" formatCode="[$-409]dd\-mmm\-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indent="0" justifyLastLine="0" shrinkToFit="0" readingOrder="0"/>
    </dxf>
    <dxf>
      <border>
        <bottom style="thin">
          <color indexed="64"/>
        </bottom>
      </border>
    </dxf>
    <dxf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[$-409]d\-mmm\-yyyy;@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[$-409]d\-mmm\-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[$-409]d\-mmm\-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none"/>
      </font>
      <fill>
        <patternFill patternType="solid">
          <fgColor indexed="64"/>
          <bgColor rgb="FF004D86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</dxfs>
  <tableStyles count="1" defaultTableStyle="TableStyleMedium2" defaultPivotStyle="PivotStyleLight16">
    <tableStyle name="Invisible" pivot="0" table="0" count="0" xr9:uid="{D99F0F3C-FBA1-4C06-9F80-468940B3BE4F}"/>
  </tableStyles>
  <colors>
    <mruColors>
      <color rgb="FFFFF2CA"/>
      <color rgb="FFCAE7EE"/>
      <color rgb="FFD5EDFF"/>
      <color rgb="FF004D86"/>
      <color rgb="FFC17250"/>
      <color rgb="FFF2E1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alcChain" Target="calcChain.xml"/><Relationship Id="rId18" Type="http://schemas.openxmlformats.org/officeDocument/2006/relationships/customXml" Target="../customXml/item5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connections" Target="connections.xml"/><Relationship Id="rId15" Type="http://schemas.openxmlformats.org/officeDocument/2006/relationships/customXml" Target="../customXml/item2.xml"/><Relationship Id="rId10" Type="http://schemas.microsoft.com/office/2017/06/relationships/rdRichValue" Target="richData/rdrichvalue.xml"/><Relationship Id="rId4" Type="http://schemas.openxmlformats.org/officeDocument/2006/relationships/theme" Target="theme/theme1.xml"/><Relationship Id="rId9" Type="http://schemas.microsoft.com/office/2022/10/relationships/richValueRel" Target="richData/richValueRel.xml"/><Relationship Id="rId14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adjustColumnWidth="0" connectionId="1" xr16:uid="{58D3E7FF-11CE-4B1B-8923-E56781E736A4}" autoFormatId="16" applyNumberFormats="0" applyBorderFormats="0" applyFontFormats="0" applyPatternFormats="0" applyAlignmentFormats="0" applyWidthHeightFormats="0">
  <queryTableRefresh nextId="39">
    <queryTableFields count="13">
      <queryTableField id="25" name="1" tableColumnId="1"/>
      <queryTableField id="26" name="2" tableColumnId="2"/>
      <queryTableField id="27" name="3" tableColumnId="3"/>
      <queryTableField id="28" name="4" tableColumnId="4"/>
      <queryTableField id="29" name="5" tableColumnId="5"/>
      <queryTableField id="35" name="6" tableColumnId="6"/>
      <queryTableField id="36" name="7" tableColumnId="7"/>
      <queryTableField id="14" name="Package" tableColumnId="14"/>
      <queryTableField id="17" name="Activity Code" tableColumnId="17"/>
      <queryTableField id="15" name="Activity" tableColumnId="15"/>
      <queryTableField id="19" name="Original Duration" tableColumnId="19"/>
      <queryTableField id="20" name="Start" tableColumnId="20"/>
      <queryTableField id="21" name="Finish" tableColumnId="2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adjustColumnWidth="0" connectionId="2" xr16:uid="{453C8796-20E0-4111-8D87-410AE92EA0F0}" autoFormatId="16" applyNumberFormats="0" applyBorderFormats="0" applyFontFormats="0" applyPatternFormats="0" applyAlignmentFormats="0" applyWidthHeightFormats="0">
  <queryTableRefresh nextId="62">
    <queryTableFields count="29">
      <queryTableField id="1" name="Ab. 01" tableColumnId="1"/>
      <queryTableField id="28" name="1 - Project Name" tableColumnId="2"/>
      <queryTableField id="3" name="Ab. 02" tableColumnId="3"/>
      <queryTableField id="29" name="2 - Originator Name" tableColumnId="4"/>
      <queryTableField id="5" name="Ab. 03" tableColumnId="5"/>
      <queryTableField id="30" name="3 - Contract Reference" tableColumnId="6"/>
      <queryTableField id="7" name="Ab. 04" tableColumnId="7"/>
      <queryTableField id="31" name="4 - Document Type" tableColumnId="8"/>
      <queryTableField id="9" name="Ab. 05" tableColumnId="9"/>
      <queryTableField id="32" name="5 - Discipline" tableColumnId="10"/>
      <queryTableField id="11" name="Ab. 06" tableColumnId="11"/>
      <queryTableField id="33" name="6 - Area/Zone" tableColumnId="12"/>
      <queryTableField id="13" name="Ab. 07" tableColumnId="13"/>
      <queryTableField id="34" name="7 - Venue/Building" tableColumnId="14"/>
      <queryTableField id="15" name="Ab. 08A" tableColumnId="15"/>
      <queryTableField id="35" name="8A - Drawing Type" tableColumnId="16"/>
      <queryTableField id="17" name="Ab. 08B" tableColumnId="17"/>
      <queryTableField id="36" name="8B - Level" tableColumnId="18"/>
      <queryTableField id="37" name="8C - Sequence Number" tableColumnId="19"/>
      <queryTableField id="38" name="Authoring Software" tableColumnId="20"/>
      <queryTableField id="39" name="File/Exchange Format" tableColumnId="22"/>
      <queryTableField id="40" name="Scope Area" tableColumnId="24"/>
      <queryTableField id="41" name="Code" tableColumnId="25"/>
      <queryTableField id="42" name="Status" tableColumnId="26"/>
      <queryTableField id="21" name="SCALE" tableColumnId="21"/>
      <queryTableField id="43" name="Classification ID" tableColumnId="27"/>
      <queryTableField id="23" name="CLASSIFICATION" tableColumnId="23"/>
      <queryTableField id="44" name="Corporate Discipline" tableColumnId="28"/>
      <queryTableField id="45" name="Author" tableColumnId="29"/>
    </queryTableFields>
  </queryTableRefresh>
</queryTable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A colorful logo with text
Description automatically generated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0C140F-BC09-4482-B677-9663429D9E3A}" name="TIDP" displayName="TIDP" ref="A16:AH222" totalsRowShown="0" headerRowDxfId="94" dataDxfId="92" headerRowBorderDxfId="93" tableBorderDxfId="91" totalsRowBorderDxfId="90">
  <autoFilter ref="A16:AH222" xr:uid="{4A0C140F-BC09-4482-B677-9663429D9E3A}"/>
  <sortState xmlns:xlrd2="http://schemas.microsoft.com/office/spreadsheetml/2017/richdata2" ref="A17:AH216">
    <sortCondition ref="I16:I216"/>
  </sortState>
  <tableColumns count="34">
    <tableColumn id="1" xr3:uid="{186C4A47-D797-46AA-BC80-C7312C4CDB96}" name="DOCUMENT NUMBER" dataDxfId="89">
      <calculatedColumnFormula>CONCATENATE(TRIM(L17),"-",TRIM(M17),"-",TRIM(N17),"-",TRIM(O17),"-",TRIM(P17),"-",TRIM(Q17),"-",TRIM(R17),"-",TRIM(S17),TRIM(T17),TRIM(U17))</calculatedColumnFormula>
    </tableColumn>
    <tableColumn id="2" xr3:uid="{A78DF72A-380F-4DAD-B2ED-23E59613CEF8}" name="DOCUMENT TITLE" dataDxfId="88"/>
    <tableColumn id="3" xr3:uid="{8CA38325-242D-4B93-BA39-CCD117279779}" name="EXTRACTED FROM MODEL" dataDxfId="87"/>
    <tableColumn id="5" xr3:uid="{D5F3FC43-0C5F-4906-BFBC-3D8D5FDCB3AD}" name="SCOPE AREA" dataDxfId="86"/>
    <tableColumn id="34" xr3:uid="{6930A6C6-D4EE-4B78-B24A-767AF5679E7D}" name="AUTHORING SOFTWARE" dataDxfId="85"/>
    <tableColumn id="4" xr3:uid="{193E6ECE-3D61-4C8D-BF83-D4C58C384BA4}" name="EXCHANGE FORMAT" dataDxfId="84"/>
    <tableColumn id="6" xr3:uid="{07E6C223-B782-4D65-9A16-936E8DDB7FD6}" name="SCALE" dataDxfId="83"/>
    <tableColumn id="7" xr3:uid="{56DD5637-7165-4EE6-9DA6-85AB9C4DFF3B}" name="DELIVERY MILESTONE" dataDxfId="82"/>
    <tableColumn id="21" xr3:uid="{4749F3B7-5838-4BF3-AF51-E1D1B90A9F5B}" name="PACKAGE NAME" dataDxfId="81"/>
    <tableColumn id="8" xr3:uid="{ED815425-7305-4A15-A1BA-FDB9C677052A}" name="ACTIVITY ID" dataDxfId="80"/>
    <tableColumn id="9" xr3:uid="{191D6B19-BDAE-4993-83EB-A5E7090A96EA}" name="CLASSIFICATION CODE" dataDxfId="79"/>
    <tableColumn id="10" xr3:uid="{E42C9E6F-6ED1-4173-87AF-187BAA3643E7}" name="PROJECT" dataDxfId="78"/>
    <tableColumn id="11" xr3:uid="{FD1F61FD-D841-4EA4-8BE6-C88C9539B8DE}" name="ORIGINATOR" dataDxfId="77"/>
    <tableColumn id="12" xr3:uid="{1256AEF0-5244-4D6F-AAC6-C4FC2021192A}" name="CONTRACT" dataDxfId="76"/>
    <tableColumn id="13" xr3:uid="{C755124F-27FD-4BD1-A13D-CBB03E72C6DC}" name="DOCUMENT TYPE" dataDxfId="75"/>
    <tableColumn id="14" xr3:uid="{99AD8789-7152-4CF4-A065-00C50543FEC9}" name="DISCIPLINE" dataDxfId="74"/>
    <tableColumn id="15" xr3:uid="{8B265DE6-FAA8-433B-9A67-9246FDD069C2}" name="AREA/ZONE" dataDxfId="73"/>
    <tableColumn id="16" xr3:uid="{113512BC-750B-494A-98C8-B16F869D3ABD}" name="VENUE/BUILDING" dataDxfId="72"/>
    <tableColumn id="17" xr3:uid="{B21FEC2D-0D9F-4F2D-9C33-B1BD21C2C3A7}" name="DRAWING TYPE" dataDxfId="71"/>
    <tableColumn id="18" xr3:uid="{96701E64-1665-4A24-8D73-83E4E849673D}" name="LEVEL" dataDxfId="70"/>
    <tableColumn id="19" xr3:uid="{F26AB493-01DB-4E8B-8964-F29E6E429FA4}" name="SEQUENCE NUMBER" dataDxfId="69"/>
    <tableColumn id="20" xr3:uid="{001726F7-B47A-4098-828B-3A1FCC9AF044}" name="CORPORATE DISCIPLINE" dataDxfId="68">
      <calculatedColumnFormula>IF($B$6="","",$B$6)</calculatedColumnFormula>
    </tableColumn>
    <tableColumn id="22" xr3:uid="{27B535A7-FF30-4570-833F-36631DED0957}" name="01-AUTHOR" dataDxfId="67"/>
    <tableColumn id="23" xr3:uid="{B1FB6F9F-9007-4F49-A516-590F9371CE93}" name="01-GEOMETRICAL" dataDxfId="66"/>
    <tableColumn id="24" xr3:uid="{4A10E81C-0A52-4D88-8B78-370DB3BE1278}" name="01-NON GEOMETRICAL" dataDxfId="65"/>
    <tableColumn id="25" xr3:uid="{4B2E6B9D-CA34-4849-9A53-B821FC081D68}" name="01-DURATION _x000a_(DAYS)" dataDxfId="64"/>
    <tableColumn id="26" xr3:uid="{B231CA67-992C-4698-B958-EBFC5CA24CED}" name="01-PREDECESSOR" dataDxfId="63"/>
    <tableColumn id="27" xr3:uid="{D4280A92-0A48-4BDB-9058-D3438B5F8811}" name="01-EXCHANGE DATE" dataDxfId="62">
      <calculatedColumnFormula>_xlfn.XLOOKUP(TIDP[[#This Row],[ACTIVITY ID]],Baseline[Activity Code],Baseline[Finish],"",0)</calculatedColumnFormula>
    </tableColumn>
    <tableColumn id="28" xr3:uid="{B4CE9047-8735-48D3-A22E-FE21B951D660}" name="02-AUTHOR" dataDxfId="61"/>
    <tableColumn id="29" xr3:uid="{50414B51-AB79-417D-BA0A-D0B525C818EE}" name="02-GEOMETRICAL" dataDxfId="60"/>
    <tableColumn id="30" xr3:uid="{7511F6FB-5FDB-462E-ADA7-D8DF268CD12B}" name="02-NON GEOMETRICAL" dataDxfId="59"/>
    <tableColumn id="31" xr3:uid="{C01F008B-7911-464C-A1FB-35A385D76385}" name="02-DURATION _x000a_(DAYS)" dataDxfId="58"/>
    <tableColumn id="32" xr3:uid="{624B5803-8F15-4DF0-A5C7-1E056A0FD98B}" name="02-PREDECESSOR" dataDxfId="57"/>
    <tableColumn id="33" xr3:uid="{2FFCD0C6-6C2E-45AF-B6ED-3D42EECFDEFD}" name="02-EXCHANGE DATE" dataDxfId="56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6F04D8E-4C40-410D-8C51-B778240572FD}" name="Baseline" displayName="Baseline" ref="B2:N685" tableType="queryTable" totalsRowShown="0" headerRowDxfId="55" dataDxfId="53" headerRowBorderDxfId="54" tableBorderDxfId="52" totalsRowBorderDxfId="51">
  <autoFilter ref="B2:N685" xr:uid="{26F04D8E-4C40-410D-8C51-B778240572FD}"/>
  <tableColumns count="13">
    <tableColumn id="1" xr3:uid="{A4C03102-CADD-47AA-A5DA-B6C09AE31D31}" uniqueName="1" name="1" queryTableFieldId="25" dataDxfId="50"/>
    <tableColumn id="2" xr3:uid="{8879192B-EBC4-4F67-B0A1-7B24A37BAC58}" uniqueName="2" name="2" queryTableFieldId="26" dataDxfId="49"/>
    <tableColumn id="3" xr3:uid="{C31C9EB3-E534-43E6-952D-A9AA76AAC42B}" uniqueName="3" name="3" queryTableFieldId="27" dataDxfId="48"/>
    <tableColumn id="4" xr3:uid="{1C19434D-03D5-4D7E-B920-65C27053CD06}" uniqueName="4" name="4" queryTableFieldId="28" dataDxfId="47"/>
    <tableColumn id="5" xr3:uid="{7FAAEFF3-C0DA-4754-A307-B612E7DD4B33}" uniqueName="5" name="5" queryTableFieldId="29" dataDxfId="46"/>
    <tableColumn id="6" xr3:uid="{09E658C7-13EC-46B9-8847-AC00738906AF}" uniqueName="6" name="6" queryTableFieldId="35" dataDxfId="45"/>
    <tableColumn id="7" xr3:uid="{D84339BC-F3BE-47A5-989D-F9546EF51E8A}" uniqueName="7" name="7" queryTableFieldId="36" dataDxfId="44"/>
    <tableColumn id="14" xr3:uid="{0591C03B-F9B3-4A57-B34C-49B8F3C2B1DC}" uniqueName="14" name="Package" queryTableFieldId="14" dataDxfId="43"/>
    <tableColumn id="17" xr3:uid="{526B0A7D-577E-49B6-A142-3A7D0369A45C}" uniqueName="17" name="Activity Code" queryTableFieldId="17" dataDxfId="42"/>
    <tableColumn id="15" xr3:uid="{91C5C332-1260-48DB-9030-E5BFBDE8B3D0}" uniqueName="15" name="Activity" queryTableFieldId="15" dataDxfId="41"/>
    <tableColumn id="19" xr3:uid="{20D80DA3-C7E0-4F31-BD1D-E8C4FDC69D05}" uniqueName="19" name="Original Duration" queryTableFieldId="19" dataDxfId="40"/>
    <tableColumn id="20" xr3:uid="{D16B6932-F3F7-485D-AA81-2E9812393F3E}" uniqueName="20" name="Start" queryTableFieldId="20" dataDxfId="39"/>
    <tableColumn id="21" xr3:uid="{5F85FEA6-6398-4391-949D-060F0BC32779}" uniqueName="21" name="Finish" queryTableFieldId="21" dataDxfId="38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4D902E3-BC95-4FCC-AFD0-3128303373D7}" name="Picklists" displayName="Picklists" ref="A5:AC103" tableType="queryTable" totalsRowShown="0" headerRowDxfId="37" dataDxfId="35" headerRowBorderDxfId="36" tableBorderDxfId="34">
  <autoFilter ref="A5:AC103" xr:uid="{84D902E3-BC95-4FCC-AFD0-3128303373D7}">
    <filterColumn colId="0" hiddenButton="1"/>
    <filterColumn colId="2" hiddenButton="1"/>
    <filterColumn colId="4" hiddenButton="1"/>
    <filterColumn colId="6" hiddenButton="1"/>
    <filterColumn colId="8" hiddenButton="1"/>
    <filterColumn colId="10" hiddenButton="1"/>
    <filterColumn colId="12" hiddenButton="1"/>
    <filterColumn colId="14" hiddenButton="1"/>
    <filterColumn colId="16" hiddenButton="1"/>
    <filterColumn colId="24" hiddenButton="1"/>
    <filterColumn colId="26" hiddenButton="1"/>
  </autoFilter>
  <tableColumns count="29">
    <tableColumn id="1" xr3:uid="{804C69FD-BB8E-49B9-8508-2985A7BB21C3}" uniqueName="1" name="Ab. 01" queryTableFieldId="1" dataDxfId="33"/>
    <tableColumn id="2" xr3:uid="{2947B3DD-118D-41D7-B134-53DFAFB3BB74}" uniqueName="2" name="1 - Project Name" queryTableFieldId="28" dataDxfId="32"/>
    <tableColumn id="3" xr3:uid="{3EA1C1B1-5FC8-4840-ABBD-06C54C2A1B75}" uniqueName="3" name="Ab. 02" queryTableFieldId="3" dataDxfId="31"/>
    <tableColumn id="4" xr3:uid="{7D2FCD79-4966-4BEF-8F9A-F15897165FF1}" uniqueName="4" name="2 - Originator Name" queryTableFieldId="29" dataDxfId="30"/>
    <tableColumn id="5" xr3:uid="{4FF4A1DF-165C-4D13-88BF-B122AC2A8EBE}" uniqueName="5" name="Ab. 03" queryTableFieldId="5" dataDxfId="29"/>
    <tableColumn id="6" xr3:uid="{655A5BA9-28BD-4F5B-83D8-227795393E83}" uniqueName="6" name="3 - Contract Reference" queryTableFieldId="30" dataDxfId="28"/>
    <tableColumn id="7" xr3:uid="{AB1D196B-3E93-40B8-91F5-922BF63AEC59}" uniqueName="7" name="Ab. 04" queryTableFieldId="7" dataDxfId="27"/>
    <tableColumn id="8" xr3:uid="{98D5CD4E-74A2-4FFE-B87E-968F6D294FBF}" uniqueName="8" name="4 - Document Type" queryTableFieldId="31" dataDxfId="26"/>
    <tableColumn id="9" xr3:uid="{8029BF94-E3B8-4F58-A3A3-32DEA99E127C}" uniqueName="9" name="Ab. 05" queryTableFieldId="9" dataDxfId="25"/>
    <tableColumn id="10" xr3:uid="{38F32EB0-1772-41F0-9242-1A4DED6D19E2}" uniqueName="10" name="5 - Discipline" queryTableFieldId="32" dataDxfId="24"/>
    <tableColumn id="11" xr3:uid="{243D3C05-A8D7-4428-8F80-476BE7E1B458}" uniqueName="11" name="Ab. 06" queryTableFieldId="11" dataDxfId="23"/>
    <tableColumn id="12" xr3:uid="{E566CEE9-5402-42CA-8AEF-485F8D1CF04F}" uniqueName="12" name="6 - Area/Zone" queryTableFieldId="33" dataDxfId="22"/>
    <tableColumn id="13" xr3:uid="{CDFCD1E6-C6B3-4995-B3F2-57A9C781BAD0}" uniqueName="13" name="Ab. 07" queryTableFieldId="13" dataDxfId="21"/>
    <tableColumn id="14" xr3:uid="{C6DD3EBC-C9A8-4B27-9F11-200B7155B8BE}" uniqueName="14" name="7 - Venue/Building" queryTableFieldId="34" dataDxfId="20"/>
    <tableColumn id="15" xr3:uid="{BC90CCAA-02E5-4385-A9C3-456DB13D50B4}" uniqueName="15" name="Ab. 08A" queryTableFieldId="15" dataDxfId="19"/>
    <tableColumn id="16" xr3:uid="{8102921F-AFC2-4F76-8E53-1E919C388D8C}" uniqueName="16" name="8A - Drawing Type" queryTableFieldId="35" dataDxfId="18"/>
    <tableColumn id="17" xr3:uid="{FE76235A-FDFE-4A10-883A-E601553CA192}" uniqueName="17" name="Ab. 08B" queryTableFieldId="17" dataDxfId="17"/>
    <tableColumn id="18" xr3:uid="{359900FA-6214-4077-A042-942EFAA5A231}" uniqueName="18" name="8B - Level" queryTableFieldId="36" dataDxfId="16"/>
    <tableColumn id="19" xr3:uid="{EC3E1728-36D6-4709-944B-20C296E1E9CD}" uniqueName="19" name="8C - Sequence Number" queryTableFieldId="37" dataDxfId="15"/>
    <tableColumn id="20" xr3:uid="{C408B5C0-FAB8-40A7-87ED-CAF47F99D468}" uniqueName="20" name="Authoring Software" queryTableFieldId="38" dataDxfId="14"/>
    <tableColumn id="22" xr3:uid="{61171C36-3036-4225-B149-305D589C474C}" uniqueName="22" name="File/Exchange Format" queryTableFieldId="39" dataDxfId="13"/>
    <tableColumn id="24" xr3:uid="{F49BDB97-C258-4225-A939-CC42C26DB79B}" uniqueName="24" name="Scope Area" queryTableFieldId="40" dataDxfId="12"/>
    <tableColumn id="25" xr3:uid="{04E4D158-EAB0-4D61-9B56-6685519D8A17}" uniqueName="25" name="Code" queryTableFieldId="41" dataDxfId="11"/>
    <tableColumn id="26" xr3:uid="{C6915218-6845-42E1-934F-43AB895CF90E}" uniqueName="26" name="Status" queryTableFieldId="42" dataDxfId="10"/>
    <tableColumn id="21" xr3:uid="{423C5A63-66CF-4122-83E2-A8A51D94E91B}" uniqueName="21" name="Scale" queryTableFieldId="21" dataDxfId="9"/>
    <tableColumn id="27" xr3:uid="{27ABE228-D609-4AFE-9F64-BA6A520BFE5A}" uniqueName="27" name="Classification ID" queryTableFieldId="43" dataDxfId="8"/>
    <tableColumn id="23" xr3:uid="{31EC7612-188F-4623-89F8-8ED9CF1E0000}" uniqueName="23" name="Classification" queryTableFieldId="23" dataDxfId="7"/>
    <tableColumn id="28" xr3:uid="{5F3AECB7-2719-4AFD-BAF2-E99BE8953567}" uniqueName="28" name="Corporate Discipline" queryTableFieldId="44" dataDxfId="6"/>
    <tableColumn id="29" xr3:uid="{B80D8DAE-998A-4F25-A604-BE53E8019D66}" uniqueName="29" name="Author" queryTableFieldId="45" dataDxfId="5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E15C8-7C52-4CB0-A850-AB239440B320}">
  <sheetPr codeName="Sheet1"/>
  <dimension ref="A1:AH222"/>
  <sheetViews>
    <sheetView showGridLines="0" tabSelected="1" zoomScale="85" zoomScaleNormal="85" workbookViewId="0">
      <pane xSplit="2" ySplit="16" topLeftCell="C91" activePane="bottomRight" state="frozen"/>
      <selection pane="topRight" activeCell="C1" sqref="C1"/>
      <selection pane="bottomLeft" activeCell="A17" sqref="A17"/>
      <selection pane="bottomRight" activeCell="B26" sqref="B26"/>
    </sheetView>
  </sheetViews>
  <sheetFormatPr defaultColWidth="9.140625" defaultRowHeight="12.75" x14ac:dyDescent="0.25"/>
  <cols>
    <col min="1" max="1" width="45.140625" style="2" customWidth="1"/>
    <col min="2" max="2" width="84" style="2" customWidth="1"/>
    <col min="3" max="3" width="37.140625" style="2" customWidth="1"/>
    <col min="4" max="5" width="21.85546875" style="2" customWidth="1"/>
    <col min="6" max="6" width="12.85546875" style="3" customWidth="1"/>
    <col min="7" max="7" width="13.7109375" style="3" customWidth="1"/>
    <col min="8" max="9" width="21" style="3" customWidth="1"/>
    <col min="10" max="10" width="23.85546875" style="3" bestFit="1" customWidth="1"/>
    <col min="11" max="11" width="15.42578125" style="3" customWidth="1"/>
    <col min="12" max="21" width="13.7109375" style="3" customWidth="1"/>
    <col min="22" max="22" width="19.140625" style="2" customWidth="1"/>
    <col min="23" max="34" width="20.42578125" style="2" customWidth="1"/>
    <col min="35" max="16384" width="9.140625" style="2"/>
  </cols>
  <sheetData>
    <row r="1" spans="1:34" ht="21" x14ac:dyDescent="0.25">
      <c r="A1" s="1" t="s">
        <v>0</v>
      </c>
    </row>
    <row r="3" spans="1:34" ht="15.6" customHeight="1" x14ac:dyDescent="0.25">
      <c r="A3" s="28" t="s">
        <v>1</v>
      </c>
      <c r="B3" s="4" t="s">
        <v>2</v>
      </c>
      <c r="C3" s="95" t="e" vm="1">
        <v>#VALUE!</v>
      </c>
      <c r="D3" s="26"/>
      <c r="E3" s="26"/>
    </row>
    <row r="4" spans="1:34" ht="15.75" x14ac:dyDescent="0.25">
      <c r="A4" s="28" t="s">
        <v>3</v>
      </c>
      <c r="B4" s="4" t="s">
        <v>4</v>
      </c>
      <c r="C4" s="95"/>
      <c r="D4" s="26"/>
      <c r="E4" s="26"/>
    </row>
    <row r="5" spans="1:34" ht="15.75" x14ac:dyDescent="0.25">
      <c r="A5" s="28" t="s">
        <v>5</v>
      </c>
      <c r="B5" s="4" t="s">
        <v>6</v>
      </c>
      <c r="C5" s="95"/>
      <c r="D5" s="26"/>
      <c r="E5" s="26"/>
    </row>
    <row r="6" spans="1:34" ht="15.75" x14ac:dyDescent="0.25">
      <c r="A6" s="28" t="s">
        <v>7</v>
      </c>
      <c r="B6" s="19" t="s">
        <v>8</v>
      </c>
      <c r="C6" s="95"/>
      <c r="D6" s="26"/>
      <c r="E6" s="26"/>
    </row>
    <row r="7" spans="1:34" ht="15.75" x14ac:dyDescent="0.25">
      <c r="A7" s="28" t="s">
        <v>9</v>
      </c>
      <c r="B7" s="4" t="s">
        <v>10</v>
      </c>
      <c r="C7" s="95"/>
      <c r="D7" s="26"/>
      <c r="E7" s="26"/>
    </row>
    <row r="8" spans="1:34" ht="15.75" x14ac:dyDescent="0.25">
      <c r="A8" s="28" t="s">
        <v>11</v>
      </c>
      <c r="B8" s="23">
        <v>45979</v>
      </c>
      <c r="C8" s="95"/>
      <c r="D8" s="26"/>
      <c r="E8" s="26"/>
    </row>
    <row r="9" spans="1:34" ht="15.75" x14ac:dyDescent="0.25">
      <c r="A9" s="28" t="s">
        <v>12</v>
      </c>
      <c r="B9" s="23">
        <v>45979</v>
      </c>
      <c r="C9" s="95"/>
      <c r="D9" s="26"/>
      <c r="E9" s="26"/>
    </row>
    <row r="10" spans="1:34" ht="15.75" x14ac:dyDescent="0.25">
      <c r="A10" s="28" t="s">
        <v>13</v>
      </c>
      <c r="B10" s="45" t="s">
        <v>14</v>
      </c>
      <c r="C10" s="95"/>
      <c r="D10" s="26"/>
      <c r="E10" s="26"/>
    </row>
    <row r="11" spans="1:34" ht="15.75" x14ac:dyDescent="0.25">
      <c r="A11" s="28" t="s">
        <v>15</v>
      </c>
      <c r="B11" s="46" t="s">
        <v>16</v>
      </c>
      <c r="C11" s="95"/>
      <c r="D11" s="26"/>
      <c r="E11" s="26"/>
    </row>
    <row r="12" spans="1:34" x14ac:dyDescent="0.25">
      <c r="A12" s="5" t="s">
        <v>17</v>
      </c>
      <c r="B12" s="3"/>
      <c r="C12" s="3"/>
      <c r="D12" s="3"/>
      <c r="E12" s="3"/>
      <c r="L12" s="97" t="s">
        <v>18</v>
      </c>
      <c r="M12" s="97"/>
      <c r="N12" s="97"/>
      <c r="O12" s="97"/>
      <c r="P12" s="97"/>
      <c r="Q12" s="97"/>
      <c r="R12" s="97"/>
      <c r="S12" s="97"/>
      <c r="T12" s="97"/>
      <c r="U12" s="97"/>
      <c r="V12" s="97"/>
      <c r="W12" s="97" t="s">
        <v>19</v>
      </c>
      <c r="X12" s="97"/>
      <c r="Y12" s="97"/>
      <c r="Z12" s="97"/>
      <c r="AA12" s="97"/>
      <c r="AB12" s="97"/>
      <c r="AC12" s="97" t="s">
        <v>20</v>
      </c>
      <c r="AD12" s="97"/>
      <c r="AE12" s="97"/>
      <c r="AF12" s="97"/>
      <c r="AG12" s="97"/>
      <c r="AH12" s="97"/>
    </row>
    <row r="13" spans="1:34" x14ac:dyDescent="0.25">
      <c r="A13" s="6"/>
      <c r="B13" s="3"/>
      <c r="C13" s="3"/>
      <c r="D13" s="3"/>
      <c r="E13" s="3"/>
      <c r="L13" s="96" t="s">
        <v>21</v>
      </c>
      <c r="M13" s="96"/>
      <c r="N13" s="96"/>
      <c r="O13" s="96"/>
      <c r="P13" s="96"/>
      <c r="Q13" s="96"/>
      <c r="R13" s="96"/>
      <c r="S13" s="96"/>
      <c r="T13" s="96"/>
      <c r="U13" s="96"/>
      <c r="V13" s="97"/>
      <c r="W13" s="35" t="s">
        <v>22</v>
      </c>
      <c r="X13" s="98" t="s">
        <v>23</v>
      </c>
      <c r="Y13" s="98"/>
      <c r="Z13" s="98"/>
      <c r="AA13" s="98"/>
      <c r="AB13" s="98"/>
      <c r="AC13" s="35" t="s">
        <v>22</v>
      </c>
      <c r="AD13" s="98" t="s">
        <v>24</v>
      </c>
      <c r="AE13" s="98"/>
      <c r="AF13" s="98"/>
      <c r="AG13" s="98"/>
      <c r="AH13" s="98"/>
    </row>
    <row r="14" spans="1:34" x14ac:dyDescent="0.25">
      <c r="B14" s="3"/>
      <c r="C14" s="3"/>
      <c r="D14" s="3"/>
      <c r="E14" s="3"/>
      <c r="L14" s="96"/>
      <c r="M14" s="96"/>
      <c r="N14" s="96"/>
      <c r="O14" s="96"/>
      <c r="P14" s="96"/>
      <c r="Q14" s="96"/>
      <c r="R14" s="96"/>
      <c r="S14" s="96"/>
      <c r="T14" s="96"/>
      <c r="U14" s="96"/>
      <c r="V14" s="97"/>
      <c r="W14" s="35" t="s">
        <v>25</v>
      </c>
      <c r="X14" s="99"/>
      <c r="Y14" s="99"/>
      <c r="Z14" s="99"/>
      <c r="AA14" s="99"/>
      <c r="AB14" s="99"/>
      <c r="AC14" s="35" t="s">
        <v>25</v>
      </c>
      <c r="AD14" s="99"/>
      <c r="AE14" s="99"/>
      <c r="AF14" s="99"/>
      <c r="AG14" s="99"/>
      <c r="AH14" s="99"/>
    </row>
    <row r="15" spans="1:34" ht="16.5" customHeight="1" x14ac:dyDescent="0.25">
      <c r="A15" s="6"/>
      <c r="B15" s="6"/>
      <c r="C15" s="3"/>
      <c r="D15" s="3"/>
      <c r="E15" s="3"/>
      <c r="F15" s="7" t="s">
        <v>26</v>
      </c>
      <c r="L15" s="30" t="s">
        <v>27</v>
      </c>
      <c r="M15" s="30" t="s">
        <v>28</v>
      </c>
      <c r="N15" s="30" t="s">
        <v>29</v>
      </c>
      <c r="O15" s="30" t="s">
        <v>30</v>
      </c>
      <c r="P15" s="30" t="s">
        <v>31</v>
      </c>
      <c r="Q15" s="30" t="s">
        <v>32</v>
      </c>
      <c r="R15" s="30" t="s">
        <v>33</v>
      </c>
      <c r="S15" s="96" t="s">
        <v>34</v>
      </c>
      <c r="T15" s="96"/>
      <c r="U15" s="96"/>
      <c r="V15" s="97"/>
      <c r="W15" s="36"/>
      <c r="X15" s="96" t="s">
        <v>35</v>
      </c>
      <c r="Y15" s="96"/>
      <c r="Z15" s="37"/>
      <c r="AA15" s="37"/>
      <c r="AB15" s="37"/>
      <c r="AC15" s="35"/>
      <c r="AD15" s="96" t="s">
        <v>35</v>
      </c>
      <c r="AE15" s="96"/>
      <c r="AF15" s="30"/>
      <c r="AG15" s="30"/>
      <c r="AH15" s="30"/>
    </row>
    <row r="16" spans="1:34" ht="25.5" x14ac:dyDescent="0.25">
      <c r="A16" s="44" t="s">
        <v>36</v>
      </c>
      <c r="B16" s="29" t="s">
        <v>37</v>
      </c>
      <c r="C16" s="29" t="s">
        <v>38</v>
      </c>
      <c r="D16" s="29" t="s">
        <v>39</v>
      </c>
      <c r="E16" s="29" t="s">
        <v>40</v>
      </c>
      <c r="F16" s="30" t="s">
        <v>41</v>
      </c>
      <c r="G16" s="31" t="s">
        <v>42</v>
      </c>
      <c r="H16" s="31" t="s">
        <v>43</v>
      </c>
      <c r="I16" s="31" t="s">
        <v>44</v>
      </c>
      <c r="J16" s="31" t="s">
        <v>45</v>
      </c>
      <c r="K16" s="31" t="s">
        <v>46</v>
      </c>
      <c r="L16" s="32" t="s">
        <v>3</v>
      </c>
      <c r="M16" s="32" t="s">
        <v>47</v>
      </c>
      <c r="N16" s="32" t="s">
        <v>48</v>
      </c>
      <c r="O16" s="32" t="s">
        <v>49</v>
      </c>
      <c r="P16" s="32" t="s">
        <v>7</v>
      </c>
      <c r="Q16" s="32" t="s">
        <v>50</v>
      </c>
      <c r="R16" s="32" t="s">
        <v>51</v>
      </c>
      <c r="S16" s="32" t="s">
        <v>52</v>
      </c>
      <c r="T16" s="32" t="s">
        <v>53</v>
      </c>
      <c r="U16" s="32" t="s">
        <v>54</v>
      </c>
      <c r="V16" s="33" t="s">
        <v>55</v>
      </c>
      <c r="W16" s="31" t="s">
        <v>56</v>
      </c>
      <c r="X16" s="31" t="s">
        <v>57</v>
      </c>
      <c r="Y16" s="29" t="s">
        <v>58</v>
      </c>
      <c r="Z16" s="31" t="s">
        <v>59</v>
      </c>
      <c r="AA16" s="31" t="s">
        <v>60</v>
      </c>
      <c r="AB16" s="31" t="s">
        <v>61</v>
      </c>
      <c r="AC16" s="31" t="s">
        <v>62</v>
      </c>
      <c r="AD16" s="31" t="s">
        <v>63</v>
      </c>
      <c r="AE16" s="29" t="s">
        <v>64</v>
      </c>
      <c r="AF16" s="31" t="s">
        <v>65</v>
      </c>
      <c r="AG16" s="31" t="s">
        <v>66</v>
      </c>
      <c r="AH16" s="34" t="s">
        <v>67</v>
      </c>
    </row>
    <row r="17" spans="1:34" x14ac:dyDescent="0.25">
      <c r="A17" s="43" t="str">
        <f t="shared" ref="A17:A48" si="0">CONCATENATE(TRIM(L17),"-",TRIM(M17),"-",TRIM(N17),"-",TRIM(O17),"-",TRIM(P17),"-",TRIM(Q17),"-",TRIM(R17),"-",TRIM(S17),TRIM(T17),TRIM(U17))</f>
        <v>QF01012-NES-C04518-SDW-CIV-01-BLAD01-2FL0101</v>
      </c>
      <c r="B17" s="8" t="s">
        <v>68</v>
      </c>
      <c r="C17" s="8" t="s">
        <v>69</v>
      </c>
      <c r="D17" s="8" t="s">
        <v>70</v>
      </c>
      <c r="E17" s="8" t="s">
        <v>71</v>
      </c>
      <c r="F17" s="9" t="s">
        <v>72</v>
      </c>
      <c r="G17" s="9" t="s">
        <v>73</v>
      </c>
      <c r="H17" s="25">
        <v>46050</v>
      </c>
      <c r="I17" s="25" t="s">
        <v>74</v>
      </c>
      <c r="J17" s="9" t="s">
        <v>75</v>
      </c>
      <c r="K17" s="9"/>
      <c r="L17" s="9" t="s">
        <v>76</v>
      </c>
      <c r="M17" s="9" t="s">
        <v>77</v>
      </c>
      <c r="N17" s="9" t="s">
        <v>78</v>
      </c>
      <c r="O17" s="9" t="s">
        <v>79</v>
      </c>
      <c r="P17" s="9" t="s">
        <v>80</v>
      </c>
      <c r="Q17" s="9" t="s">
        <v>81</v>
      </c>
      <c r="R17" s="9" t="s">
        <v>82</v>
      </c>
      <c r="S17" s="9" t="s">
        <v>83</v>
      </c>
      <c r="T17" s="9" t="s">
        <v>84</v>
      </c>
      <c r="U17" s="9" t="s">
        <v>85</v>
      </c>
      <c r="V17" s="24" t="str">
        <f t="shared" ref="V17:V31" si="1">IF($B$6="","",$B$6)</f>
        <v>Infrastructure</v>
      </c>
      <c r="W17" s="10" t="s">
        <v>6</v>
      </c>
      <c r="X17" s="10" t="s">
        <v>86</v>
      </c>
      <c r="Y17" s="10"/>
      <c r="Z17" s="10"/>
      <c r="AA17" s="10"/>
      <c r="AB17" s="22">
        <f>_xlfn.XLOOKUP(TIDP[[#This Row],[ACTIVITY ID]],Baseline[Activity Code],Baseline[Finish],"",0)</f>
        <v>46109</v>
      </c>
      <c r="AC17" s="10"/>
      <c r="AD17" s="10"/>
      <c r="AE17" s="10"/>
      <c r="AF17" s="10"/>
      <c r="AG17" s="10"/>
      <c r="AH17" s="11"/>
    </row>
    <row r="18" spans="1:34" x14ac:dyDescent="0.25">
      <c r="A18" s="43" t="str">
        <f t="shared" si="0"/>
        <v>QF01012-NES-C04518-SDW-CIV-01-BLAD01-3FL0501</v>
      </c>
      <c r="B18" s="8" t="s">
        <v>87</v>
      </c>
      <c r="C18" s="8" t="s">
        <v>69</v>
      </c>
      <c r="D18" s="8" t="s">
        <v>70</v>
      </c>
      <c r="E18" s="8" t="s">
        <v>71</v>
      </c>
      <c r="F18" s="9" t="s">
        <v>72</v>
      </c>
      <c r="G18" s="9" t="s">
        <v>73</v>
      </c>
      <c r="H18" s="25">
        <v>46050</v>
      </c>
      <c r="I18" s="25" t="s">
        <v>74</v>
      </c>
      <c r="J18" s="9" t="s">
        <v>75</v>
      </c>
      <c r="K18" s="9"/>
      <c r="L18" s="9" t="s">
        <v>76</v>
      </c>
      <c r="M18" s="9" t="s">
        <v>77</v>
      </c>
      <c r="N18" s="9" t="s">
        <v>78</v>
      </c>
      <c r="O18" s="9" t="s">
        <v>79</v>
      </c>
      <c r="P18" s="9" t="s">
        <v>80</v>
      </c>
      <c r="Q18" s="9" t="s">
        <v>81</v>
      </c>
      <c r="R18" s="9" t="s">
        <v>82</v>
      </c>
      <c r="S18" s="9" t="s">
        <v>88</v>
      </c>
      <c r="T18" s="9" t="s">
        <v>84</v>
      </c>
      <c r="U18" s="9" t="s">
        <v>89</v>
      </c>
      <c r="V18" s="24" t="str">
        <f t="shared" si="1"/>
        <v>Infrastructure</v>
      </c>
      <c r="W18" s="10" t="s">
        <v>6</v>
      </c>
      <c r="X18" s="10" t="s">
        <v>86</v>
      </c>
      <c r="Y18" s="10"/>
      <c r="Z18" s="10"/>
      <c r="AA18" s="10"/>
      <c r="AB18" s="22">
        <f>_xlfn.XLOOKUP(TIDP[[#This Row],[ACTIVITY ID]],Baseline[Activity Code],Baseline[Finish],"",0)</f>
        <v>46109</v>
      </c>
      <c r="AC18" s="10"/>
      <c r="AD18" s="10"/>
      <c r="AE18" s="10"/>
      <c r="AF18" s="10"/>
      <c r="AG18" s="10"/>
      <c r="AH18" s="11"/>
    </row>
    <row r="19" spans="1:34" x14ac:dyDescent="0.25">
      <c r="A19" s="43" t="str">
        <f t="shared" si="0"/>
        <v>QF01012-NES-C04518-SDW-CIV-02-BLAD01-3FL0502</v>
      </c>
      <c r="B19" s="8" t="s">
        <v>90</v>
      </c>
      <c r="C19" s="8" t="s">
        <v>69</v>
      </c>
      <c r="D19" s="8" t="s">
        <v>70</v>
      </c>
      <c r="E19" s="8" t="s">
        <v>71</v>
      </c>
      <c r="F19" s="9" t="s">
        <v>72</v>
      </c>
      <c r="G19" s="9" t="s">
        <v>73</v>
      </c>
      <c r="H19" s="25">
        <v>46050</v>
      </c>
      <c r="I19" s="25" t="s">
        <v>74</v>
      </c>
      <c r="J19" s="9" t="s">
        <v>75</v>
      </c>
      <c r="K19" s="9"/>
      <c r="L19" s="9" t="s">
        <v>76</v>
      </c>
      <c r="M19" s="9" t="s">
        <v>77</v>
      </c>
      <c r="N19" s="9" t="s">
        <v>78</v>
      </c>
      <c r="O19" s="9" t="s">
        <v>79</v>
      </c>
      <c r="P19" s="9" t="s">
        <v>80</v>
      </c>
      <c r="Q19" s="9" t="s">
        <v>91</v>
      </c>
      <c r="R19" s="9" t="s">
        <v>82</v>
      </c>
      <c r="S19" s="9" t="s">
        <v>88</v>
      </c>
      <c r="T19" s="9" t="s">
        <v>84</v>
      </c>
      <c r="U19" s="9" t="s">
        <v>92</v>
      </c>
      <c r="V19" s="24" t="str">
        <f t="shared" si="1"/>
        <v>Infrastructure</v>
      </c>
      <c r="W19" s="10" t="s">
        <v>6</v>
      </c>
      <c r="X19" s="10" t="s">
        <v>86</v>
      </c>
      <c r="Y19" s="10"/>
      <c r="Z19" s="10"/>
      <c r="AA19" s="10"/>
      <c r="AB19" s="22">
        <f>_xlfn.XLOOKUP(TIDP[[#This Row],[ACTIVITY ID]],Baseline[Activity Code],Baseline[Finish],"",0)</f>
        <v>46109</v>
      </c>
      <c r="AC19" s="10"/>
      <c r="AD19" s="10"/>
      <c r="AE19" s="10"/>
      <c r="AF19" s="10"/>
      <c r="AG19" s="10"/>
      <c r="AH19" s="11"/>
    </row>
    <row r="20" spans="1:34" x14ac:dyDescent="0.25">
      <c r="A20" s="43" t="str">
        <f t="shared" si="0"/>
        <v>QF01012-NES-C04518-SDW-CIV-03-BLAD01-3FL0503</v>
      </c>
      <c r="B20" s="8" t="s">
        <v>93</v>
      </c>
      <c r="C20" s="8" t="s">
        <v>69</v>
      </c>
      <c r="D20" s="8" t="s">
        <v>70</v>
      </c>
      <c r="E20" s="8" t="s">
        <v>71</v>
      </c>
      <c r="F20" s="9" t="s">
        <v>72</v>
      </c>
      <c r="G20" s="9" t="s">
        <v>73</v>
      </c>
      <c r="H20" s="25">
        <v>46050</v>
      </c>
      <c r="I20" s="25" t="s">
        <v>74</v>
      </c>
      <c r="J20" s="9" t="s">
        <v>75</v>
      </c>
      <c r="K20" s="9"/>
      <c r="L20" s="9" t="s">
        <v>76</v>
      </c>
      <c r="M20" s="9" t="s">
        <v>77</v>
      </c>
      <c r="N20" s="9" t="s">
        <v>78</v>
      </c>
      <c r="O20" s="9" t="s">
        <v>79</v>
      </c>
      <c r="P20" s="9" t="s">
        <v>80</v>
      </c>
      <c r="Q20" s="9" t="s">
        <v>94</v>
      </c>
      <c r="R20" s="9" t="s">
        <v>82</v>
      </c>
      <c r="S20" s="9" t="s">
        <v>88</v>
      </c>
      <c r="T20" s="9" t="s">
        <v>84</v>
      </c>
      <c r="U20" s="9" t="s">
        <v>95</v>
      </c>
      <c r="V20" s="24" t="str">
        <f t="shared" si="1"/>
        <v>Infrastructure</v>
      </c>
      <c r="W20" s="10" t="s">
        <v>6</v>
      </c>
      <c r="X20" s="10" t="s">
        <v>86</v>
      </c>
      <c r="Y20" s="10"/>
      <c r="Z20" s="10"/>
      <c r="AA20" s="10"/>
      <c r="AB20" s="22">
        <f>_xlfn.XLOOKUP(TIDP[[#This Row],[ACTIVITY ID]],Baseline[Activity Code],Baseline[Finish],"",0)</f>
        <v>46109</v>
      </c>
      <c r="AC20" s="10"/>
      <c r="AD20" s="10"/>
      <c r="AE20" s="10"/>
      <c r="AF20" s="10"/>
      <c r="AG20" s="10"/>
      <c r="AH20" s="11"/>
    </row>
    <row r="21" spans="1:34" x14ac:dyDescent="0.25">
      <c r="A21" s="43" t="str">
        <f t="shared" si="0"/>
        <v>QF01012-NES-C04518-SDW-CIV-04-BLAD01-3FL0504</v>
      </c>
      <c r="B21" s="8" t="s">
        <v>96</v>
      </c>
      <c r="C21" s="8" t="s">
        <v>69</v>
      </c>
      <c r="D21" s="8" t="s">
        <v>70</v>
      </c>
      <c r="E21" s="8" t="s">
        <v>71</v>
      </c>
      <c r="F21" s="9" t="s">
        <v>72</v>
      </c>
      <c r="G21" s="9" t="s">
        <v>73</v>
      </c>
      <c r="H21" s="25">
        <v>46050</v>
      </c>
      <c r="I21" s="25" t="s">
        <v>74</v>
      </c>
      <c r="J21" s="9" t="s">
        <v>75</v>
      </c>
      <c r="K21" s="9"/>
      <c r="L21" s="9" t="s">
        <v>76</v>
      </c>
      <c r="M21" s="9" t="s">
        <v>77</v>
      </c>
      <c r="N21" s="9" t="s">
        <v>78</v>
      </c>
      <c r="O21" s="9" t="s">
        <v>79</v>
      </c>
      <c r="P21" s="9" t="s">
        <v>80</v>
      </c>
      <c r="Q21" s="9" t="s">
        <v>97</v>
      </c>
      <c r="R21" s="9" t="s">
        <v>82</v>
      </c>
      <c r="S21" s="9" t="s">
        <v>88</v>
      </c>
      <c r="T21" s="9" t="s">
        <v>84</v>
      </c>
      <c r="U21" s="9" t="s">
        <v>98</v>
      </c>
      <c r="V21" s="24" t="str">
        <f t="shared" si="1"/>
        <v>Infrastructure</v>
      </c>
      <c r="W21" s="10" t="s">
        <v>6</v>
      </c>
      <c r="X21" s="10" t="s">
        <v>86</v>
      </c>
      <c r="Y21" s="10"/>
      <c r="Z21" s="10"/>
      <c r="AA21" s="10"/>
      <c r="AB21" s="22">
        <f>_xlfn.XLOOKUP(TIDP[[#This Row],[ACTIVITY ID]],Baseline[Activity Code],Baseline[Finish],"",0)</f>
        <v>46109</v>
      </c>
      <c r="AC21" s="10"/>
      <c r="AD21" s="10"/>
      <c r="AE21" s="10"/>
      <c r="AF21" s="10"/>
      <c r="AG21" s="10"/>
      <c r="AH21" s="11"/>
    </row>
    <row r="22" spans="1:34" x14ac:dyDescent="0.25">
      <c r="A22" s="43" t="str">
        <f t="shared" si="0"/>
        <v>QF01012-NES-C04518-SDW-CIV-01-BLAD02-2FL0101</v>
      </c>
      <c r="B22" s="8" t="s">
        <v>99</v>
      </c>
      <c r="C22" s="8" t="s">
        <v>69</v>
      </c>
      <c r="D22" s="8" t="s">
        <v>70</v>
      </c>
      <c r="E22" s="8" t="s">
        <v>71</v>
      </c>
      <c r="F22" s="9" t="s">
        <v>72</v>
      </c>
      <c r="G22" s="9" t="s">
        <v>73</v>
      </c>
      <c r="H22" s="25">
        <v>46050</v>
      </c>
      <c r="I22" s="25" t="s">
        <v>74</v>
      </c>
      <c r="J22" s="9" t="s">
        <v>75</v>
      </c>
      <c r="K22" s="9"/>
      <c r="L22" s="9" t="s">
        <v>76</v>
      </c>
      <c r="M22" s="9" t="s">
        <v>77</v>
      </c>
      <c r="N22" s="9" t="s">
        <v>78</v>
      </c>
      <c r="O22" s="9" t="s">
        <v>79</v>
      </c>
      <c r="P22" s="9" t="s">
        <v>80</v>
      </c>
      <c r="Q22" s="9" t="s">
        <v>81</v>
      </c>
      <c r="R22" s="9" t="s">
        <v>100</v>
      </c>
      <c r="S22" s="9" t="s">
        <v>83</v>
      </c>
      <c r="T22" s="9" t="s">
        <v>84</v>
      </c>
      <c r="U22" s="9" t="s">
        <v>85</v>
      </c>
      <c r="V22" s="24" t="str">
        <f t="shared" si="1"/>
        <v>Infrastructure</v>
      </c>
      <c r="W22" s="10" t="s">
        <v>6</v>
      </c>
      <c r="X22" s="10" t="s">
        <v>86</v>
      </c>
      <c r="Y22" s="10"/>
      <c r="Z22" s="10"/>
      <c r="AA22" s="10"/>
      <c r="AB22" s="22">
        <f>_xlfn.XLOOKUP(TIDP[[#This Row],[ACTIVITY ID]],Baseline[Activity Code],Baseline[Finish],"",0)</f>
        <v>46109</v>
      </c>
      <c r="AC22" s="10"/>
      <c r="AD22" s="10"/>
      <c r="AE22" s="10"/>
      <c r="AF22" s="10"/>
      <c r="AG22" s="10"/>
      <c r="AH22" s="11"/>
    </row>
    <row r="23" spans="1:34" x14ac:dyDescent="0.25">
      <c r="A23" s="43" t="str">
        <f t="shared" si="0"/>
        <v>QF01012-NES-C04518-SDW-CIV-02-BLAD02-3FL0501</v>
      </c>
      <c r="B23" s="8" t="s">
        <v>101</v>
      </c>
      <c r="C23" s="8" t="s">
        <v>69</v>
      </c>
      <c r="D23" s="8" t="s">
        <v>70</v>
      </c>
      <c r="E23" s="8" t="s">
        <v>71</v>
      </c>
      <c r="F23" s="9" t="s">
        <v>72</v>
      </c>
      <c r="G23" s="9" t="s">
        <v>73</v>
      </c>
      <c r="H23" s="25">
        <v>46050</v>
      </c>
      <c r="I23" s="25" t="s">
        <v>74</v>
      </c>
      <c r="J23" s="9" t="s">
        <v>75</v>
      </c>
      <c r="K23" s="9"/>
      <c r="L23" s="9" t="s">
        <v>76</v>
      </c>
      <c r="M23" s="9" t="s">
        <v>77</v>
      </c>
      <c r="N23" s="9" t="s">
        <v>78</v>
      </c>
      <c r="O23" s="9" t="s">
        <v>79</v>
      </c>
      <c r="P23" s="9" t="s">
        <v>80</v>
      </c>
      <c r="Q23" s="9" t="s">
        <v>91</v>
      </c>
      <c r="R23" s="9" t="s">
        <v>100</v>
      </c>
      <c r="S23" s="9" t="s">
        <v>88</v>
      </c>
      <c r="T23" s="9" t="s">
        <v>84</v>
      </c>
      <c r="U23" s="9" t="s">
        <v>89</v>
      </c>
      <c r="V23" s="24" t="str">
        <f t="shared" si="1"/>
        <v>Infrastructure</v>
      </c>
      <c r="W23" s="10" t="s">
        <v>6</v>
      </c>
      <c r="X23" s="10" t="s">
        <v>86</v>
      </c>
      <c r="Y23" s="10"/>
      <c r="Z23" s="10"/>
      <c r="AA23" s="10"/>
      <c r="AB23" s="22">
        <f>_xlfn.XLOOKUP(TIDP[[#This Row],[ACTIVITY ID]],Baseline[Activity Code],Baseline[Finish],"",0)</f>
        <v>46109</v>
      </c>
      <c r="AC23" s="10"/>
      <c r="AD23" s="10"/>
      <c r="AE23" s="10"/>
      <c r="AF23" s="10"/>
      <c r="AG23" s="10"/>
      <c r="AH23" s="11"/>
    </row>
    <row r="24" spans="1:34" x14ac:dyDescent="0.25">
      <c r="A24" s="43" t="str">
        <f t="shared" si="0"/>
        <v>QF01012-NES-C04518-SDW-CIV-03-BLAD02-3FL0502</v>
      </c>
      <c r="B24" s="8" t="s">
        <v>102</v>
      </c>
      <c r="C24" s="8" t="s">
        <v>69</v>
      </c>
      <c r="D24" s="8" t="s">
        <v>70</v>
      </c>
      <c r="E24" s="8" t="s">
        <v>71</v>
      </c>
      <c r="F24" s="9" t="s">
        <v>72</v>
      </c>
      <c r="G24" s="9" t="s">
        <v>73</v>
      </c>
      <c r="H24" s="25">
        <v>46050</v>
      </c>
      <c r="I24" s="25" t="s">
        <v>74</v>
      </c>
      <c r="J24" s="9" t="s">
        <v>75</v>
      </c>
      <c r="K24" s="9"/>
      <c r="L24" s="9" t="s">
        <v>76</v>
      </c>
      <c r="M24" s="9" t="s">
        <v>77</v>
      </c>
      <c r="N24" s="9" t="s">
        <v>78</v>
      </c>
      <c r="O24" s="9" t="s">
        <v>79</v>
      </c>
      <c r="P24" s="9" t="s">
        <v>80</v>
      </c>
      <c r="Q24" s="9" t="s">
        <v>94</v>
      </c>
      <c r="R24" s="9" t="s">
        <v>100</v>
      </c>
      <c r="S24" s="9" t="s">
        <v>88</v>
      </c>
      <c r="T24" s="9" t="s">
        <v>84</v>
      </c>
      <c r="U24" s="9" t="s">
        <v>92</v>
      </c>
      <c r="V24" s="24" t="str">
        <f t="shared" si="1"/>
        <v>Infrastructure</v>
      </c>
      <c r="W24" s="10" t="s">
        <v>6</v>
      </c>
      <c r="X24" s="10" t="s">
        <v>86</v>
      </c>
      <c r="Y24" s="10"/>
      <c r="Z24" s="10"/>
      <c r="AA24" s="10"/>
      <c r="AB24" s="22">
        <f>_xlfn.XLOOKUP(TIDP[[#This Row],[ACTIVITY ID]],Baseline[Activity Code],Baseline[Finish],"",0)</f>
        <v>46109</v>
      </c>
      <c r="AC24" s="10"/>
      <c r="AD24" s="10"/>
      <c r="AE24" s="10"/>
      <c r="AF24" s="10"/>
      <c r="AG24" s="10"/>
      <c r="AH24" s="11"/>
    </row>
    <row r="25" spans="1:34" x14ac:dyDescent="0.25">
      <c r="A25" s="43" t="str">
        <f t="shared" si="0"/>
        <v>QF01012-NES-C04518-SDW-CIV-04-BLAD02-3FL0503</v>
      </c>
      <c r="B25" s="8" t="s">
        <v>103</v>
      </c>
      <c r="C25" s="8" t="s">
        <v>69</v>
      </c>
      <c r="D25" s="8" t="s">
        <v>70</v>
      </c>
      <c r="E25" s="8" t="s">
        <v>71</v>
      </c>
      <c r="F25" s="9" t="s">
        <v>72</v>
      </c>
      <c r="G25" s="9" t="s">
        <v>73</v>
      </c>
      <c r="H25" s="25">
        <v>46050</v>
      </c>
      <c r="I25" s="25" t="s">
        <v>74</v>
      </c>
      <c r="J25" s="9" t="s">
        <v>75</v>
      </c>
      <c r="K25" s="9"/>
      <c r="L25" s="9" t="s">
        <v>76</v>
      </c>
      <c r="M25" s="9" t="s">
        <v>77</v>
      </c>
      <c r="N25" s="9" t="s">
        <v>78</v>
      </c>
      <c r="O25" s="9" t="s">
        <v>79</v>
      </c>
      <c r="P25" s="9" t="s">
        <v>80</v>
      </c>
      <c r="Q25" s="9" t="s">
        <v>97</v>
      </c>
      <c r="R25" s="9" t="s">
        <v>100</v>
      </c>
      <c r="S25" s="9" t="s">
        <v>88</v>
      </c>
      <c r="T25" s="9" t="s">
        <v>84</v>
      </c>
      <c r="U25" s="9" t="s">
        <v>95</v>
      </c>
      <c r="V25" s="24" t="str">
        <f t="shared" si="1"/>
        <v>Infrastructure</v>
      </c>
      <c r="W25" s="10" t="s">
        <v>6</v>
      </c>
      <c r="X25" s="10" t="s">
        <v>86</v>
      </c>
      <c r="Y25" s="10"/>
      <c r="Z25" s="10"/>
      <c r="AA25" s="10"/>
      <c r="AB25" s="22">
        <f>_xlfn.XLOOKUP(TIDP[[#This Row],[ACTIVITY ID]],Baseline[Activity Code],Baseline[Finish],"",0)</f>
        <v>46109</v>
      </c>
      <c r="AC25" s="10"/>
      <c r="AD25" s="10"/>
      <c r="AE25" s="10"/>
      <c r="AF25" s="10"/>
      <c r="AG25" s="10"/>
      <c r="AH25" s="11"/>
    </row>
    <row r="26" spans="1:34" x14ac:dyDescent="0.25">
      <c r="A26" s="43" t="str">
        <f t="shared" si="0"/>
        <v>QF01012-NES-C04518-SDW-CIV-01-BLAD03-2FL0101</v>
      </c>
      <c r="B26" s="8" t="s">
        <v>104</v>
      </c>
      <c r="C26" s="8" t="s">
        <v>69</v>
      </c>
      <c r="D26" s="8" t="s">
        <v>70</v>
      </c>
      <c r="E26" s="8" t="s">
        <v>71</v>
      </c>
      <c r="F26" s="9" t="s">
        <v>72</v>
      </c>
      <c r="G26" s="9" t="s">
        <v>73</v>
      </c>
      <c r="H26" s="25">
        <v>46008</v>
      </c>
      <c r="I26" s="25" t="s">
        <v>74</v>
      </c>
      <c r="J26" s="9" t="s">
        <v>105</v>
      </c>
      <c r="K26" s="9"/>
      <c r="L26" s="9" t="s">
        <v>76</v>
      </c>
      <c r="M26" s="9" t="s">
        <v>77</v>
      </c>
      <c r="N26" s="9" t="s">
        <v>78</v>
      </c>
      <c r="O26" s="9" t="s">
        <v>79</v>
      </c>
      <c r="P26" s="9" t="s">
        <v>80</v>
      </c>
      <c r="Q26" s="9" t="s">
        <v>81</v>
      </c>
      <c r="R26" s="9" t="s">
        <v>106</v>
      </c>
      <c r="S26" s="9" t="s">
        <v>83</v>
      </c>
      <c r="T26" s="9" t="s">
        <v>84</v>
      </c>
      <c r="U26" s="9" t="s">
        <v>85</v>
      </c>
      <c r="V26" s="24" t="str">
        <f t="shared" si="1"/>
        <v>Infrastructure</v>
      </c>
      <c r="W26" s="10" t="s">
        <v>6</v>
      </c>
      <c r="X26" s="10" t="s">
        <v>86</v>
      </c>
      <c r="Y26" s="10"/>
      <c r="Z26" s="10"/>
      <c r="AA26" s="10"/>
      <c r="AB26" s="22">
        <f>_xlfn.XLOOKUP(TIDP[[#This Row],[ACTIVITY ID]],Baseline[Activity Code],Baseline[Finish],"",0)</f>
        <v>46040</v>
      </c>
      <c r="AC26" s="10"/>
      <c r="AD26" s="10"/>
      <c r="AE26" s="10"/>
      <c r="AF26" s="10"/>
      <c r="AG26" s="10"/>
      <c r="AH26" s="11"/>
    </row>
    <row r="27" spans="1:34" x14ac:dyDescent="0.25">
      <c r="A27" s="43" t="str">
        <f t="shared" si="0"/>
        <v>QF01012-NES-C04518-SDW-CIV-02-BLAD03-3FL0501</v>
      </c>
      <c r="B27" s="8" t="s">
        <v>107</v>
      </c>
      <c r="C27" s="8" t="s">
        <v>69</v>
      </c>
      <c r="D27" s="8" t="s">
        <v>70</v>
      </c>
      <c r="E27" s="8" t="s">
        <v>71</v>
      </c>
      <c r="F27" s="9" t="s">
        <v>72</v>
      </c>
      <c r="G27" s="9" t="s">
        <v>73</v>
      </c>
      <c r="H27" s="25">
        <v>46008</v>
      </c>
      <c r="I27" s="25" t="s">
        <v>74</v>
      </c>
      <c r="J27" s="9" t="s">
        <v>105</v>
      </c>
      <c r="K27" s="9"/>
      <c r="L27" s="9" t="s">
        <v>76</v>
      </c>
      <c r="M27" s="9" t="s">
        <v>77</v>
      </c>
      <c r="N27" s="9" t="s">
        <v>78</v>
      </c>
      <c r="O27" s="9" t="s">
        <v>79</v>
      </c>
      <c r="P27" s="9" t="s">
        <v>80</v>
      </c>
      <c r="Q27" s="9" t="s">
        <v>91</v>
      </c>
      <c r="R27" s="9" t="s">
        <v>106</v>
      </c>
      <c r="S27" s="9" t="s">
        <v>88</v>
      </c>
      <c r="T27" s="9" t="s">
        <v>84</v>
      </c>
      <c r="U27" s="9" t="s">
        <v>89</v>
      </c>
      <c r="V27" s="24" t="str">
        <f t="shared" si="1"/>
        <v>Infrastructure</v>
      </c>
      <c r="W27" s="10" t="s">
        <v>6</v>
      </c>
      <c r="X27" s="10" t="s">
        <v>86</v>
      </c>
      <c r="Y27" s="10"/>
      <c r="Z27" s="10"/>
      <c r="AA27" s="10"/>
      <c r="AB27" s="22">
        <f>_xlfn.XLOOKUP(TIDP[[#This Row],[ACTIVITY ID]],Baseline[Activity Code],Baseline[Finish],"",0)</f>
        <v>46040</v>
      </c>
      <c r="AC27" s="10"/>
      <c r="AD27" s="10"/>
      <c r="AE27" s="10"/>
      <c r="AF27" s="10"/>
      <c r="AG27" s="10"/>
      <c r="AH27" s="11"/>
    </row>
    <row r="28" spans="1:34" x14ac:dyDescent="0.25">
      <c r="A28" s="43" t="str">
        <f t="shared" si="0"/>
        <v>QF01012-NES-C04518-SDW-CIV-03-BLAD03-3FL0502</v>
      </c>
      <c r="B28" s="8" t="s">
        <v>108</v>
      </c>
      <c r="C28" s="8" t="s">
        <v>69</v>
      </c>
      <c r="D28" s="8" t="s">
        <v>70</v>
      </c>
      <c r="E28" s="8" t="s">
        <v>71</v>
      </c>
      <c r="F28" s="9" t="s">
        <v>72</v>
      </c>
      <c r="G28" s="9" t="s">
        <v>73</v>
      </c>
      <c r="H28" s="25">
        <v>46008</v>
      </c>
      <c r="I28" s="25" t="s">
        <v>74</v>
      </c>
      <c r="J28" s="9" t="s">
        <v>105</v>
      </c>
      <c r="K28" s="9"/>
      <c r="L28" s="9" t="s">
        <v>76</v>
      </c>
      <c r="M28" s="9" t="s">
        <v>77</v>
      </c>
      <c r="N28" s="9" t="s">
        <v>78</v>
      </c>
      <c r="O28" s="9" t="s">
        <v>79</v>
      </c>
      <c r="P28" s="9" t="s">
        <v>80</v>
      </c>
      <c r="Q28" s="9" t="s">
        <v>94</v>
      </c>
      <c r="R28" s="9" t="s">
        <v>106</v>
      </c>
      <c r="S28" s="9" t="s">
        <v>88</v>
      </c>
      <c r="T28" s="9" t="s">
        <v>84</v>
      </c>
      <c r="U28" s="9" t="s">
        <v>92</v>
      </c>
      <c r="V28" s="24" t="str">
        <f t="shared" si="1"/>
        <v>Infrastructure</v>
      </c>
      <c r="W28" s="10" t="s">
        <v>6</v>
      </c>
      <c r="X28" s="10" t="s">
        <v>86</v>
      </c>
      <c r="Y28" s="10"/>
      <c r="Z28" s="10"/>
      <c r="AA28" s="10"/>
      <c r="AB28" s="22">
        <f>_xlfn.XLOOKUP(TIDP[[#This Row],[ACTIVITY ID]],Baseline[Activity Code],Baseline[Finish],"",0)</f>
        <v>46040</v>
      </c>
      <c r="AC28" s="10"/>
      <c r="AD28" s="10"/>
      <c r="AE28" s="10"/>
      <c r="AF28" s="10"/>
      <c r="AG28" s="10"/>
      <c r="AH28" s="11"/>
    </row>
    <row r="29" spans="1:34" x14ac:dyDescent="0.25">
      <c r="A29" s="43" t="str">
        <f t="shared" si="0"/>
        <v>QF01012-NES-C04518-SDW-CIV-04-BLAD03-3FL0503</v>
      </c>
      <c r="B29" s="8" t="s">
        <v>109</v>
      </c>
      <c r="C29" s="8" t="s">
        <v>69</v>
      </c>
      <c r="D29" s="8" t="s">
        <v>70</v>
      </c>
      <c r="E29" s="8" t="s">
        <v>71</v>
      </c>
      <c r="F29" s="9" t="s">
        <v>72</v>
      </c>
      <c r="G29" s="9" t="s">
        <v>73</v>
      </c>
      <c r="H29" s="25">
        <v>46008</v>
      </c>
      <c r="I29" s="25" t="s">
        <v>74</v>
      </c>
      <c r="J29" s="9" t="s">
        <v>105</v>
      </c>
      <c r="K29" s="9"/>
      <c r="L29" s="9" t="s">
        <v>76</v>
      </c>
      <c r="M29" s="9" t="s">
        <v>77</v>
      </c>
      <c r="N29" s="9" t="s">
        <v>78</v>
      </c>
      <c r="O29" s="9" t="s">
        <v>79</v>
      </c>
      <c r="P29" s="9" t="s">
        <v>80</v>
      </c>
      <c r="Q29" s="9" t="s">
        <v>97</v>
      </c>
      <c r="R29" s="9" t="s">
        <v>106</v>
      </c>
      <c r="S29" s="9" t="s">
        <v>88</v>
      </c>
      <c r="T29" s="9" t="s">
        <v>84</v>
      </c>
      <c r="U29" s="9" t="s">
        <v>95</v>
      </c>
      <c r="V29" s="24" t="str">
        <f t="shared" si="1"/>
        <v>Infrastructure</v>
      </c>
      <c r="W29" s="10" t="s">
        <v>6</v>
      </c>
      <c r="X29" s="10" t="s">
        <v>86</v>
      </c>
      <c r="Y29" s="10"/>
      <c r="Z29" s="10"/>
      <c r="AA29" s="10"/>
      <c r="AB29" s="22">
        <f>_xlfn.XLOOKUP(TIDP[[#This Row],[ACTIVITY ID]],Baseline[Activity Code],Baseline[Finish],"",0)</f>
        <v>46040</v>
      </c>
      <c r="AC29" s="10"/>
      <c r="AD29" s="10"/>
      <c r="AE29" s="10"/>
      <c r="AF29" s="10"/>
      <c r="AG29" s="10"/>
      <c r="AH29" s="11"/>
    </row>
    <row r="30" spans="1:34" x14ac:dyDescent="0.25">
      <c r="A30" s="43" t="str">
        <f t="shared" si="0"/>
        <v>QF01012-NES-C04518-SDW-CIV-01-BLAD04-2FL0101</v>
      </c>
      <c r="B30" s="8" t="s">
        <v>110</v>
      </c>
      <c r="C30" s="8" t="s">
        <v>69</v>
      </c>
      <c r="D30" s="8" t="s">
        <v>70</v>
      </c>
      <c r="E30" s="8" t="s">
        <v>71</v>
      </c>
      <c r="F30" s="9" t="s">
        <v>72</v>
      </c>
      <c r="G30" s="9" t="s">
        <v>73</v>
      </c>
      <c r="H30" s="25">
        <v>46008</v>
      </c>
      <c r="I30" s="25" t="s">
        <v>74</v>
      </c>
      <c r="J30" s="9" t="s">
        <v>111</v>
      </c>
      <c r="K30" s="9"/>
      <c r="L30" s="9" t="s">
        <v>76</v>
      </c>
      <c r="M30" s="9" t="s">
        <v>77</v>
      </c>
      <c r="N30" s="9" t="s">
        <v>78</v>
      </c>
      <c r="O30" s="9" t="s">
        <v>79</v>
      </c>
      <c r="P30" s="9" t="s">
        <v>80</v>
      </c>
      <c r="Q30" s="9" t="s">
        <v>81</v>
      </c>
      <c r="R30" s="9" t="s">
        <v>112</v>
      </c>
      <c r="S30" s="9" t="s">
        <v>83</v>
      </c>
      <c r="T30" s="9" t="s">
        <v>84</v>
      </c>
      <c r="U30" s="9" t="s">
        <v>85</v>
      </c>
      <c r="V30" s="24" t="str">
        <f t="shared" si="1"/>
        <v>Infrastructure</v>
      </c>
      <c r="W30" s="10" t="s">
        <v>6</v>
      </c>
      <c r="X30" s="10" t="s">
        <v>86</v>
      </c>
      <c r="Y30" s="10"/>
      <c r="Z30" s="10"/>
      <c r="AA30" s="10"/>
      <c r="AB30" s="22">
        <f>_xlfn.XLOOKUP(TIDP[[#This Row],[ACTIVITY ID]],Baseline[Activity Code],Baseline[Finish],"",0)</f>
        <v>46026</v>
      </c>
      <c r="AC30" s="10"/>
      <c r="AD30" s="10"/>
      <c r="AE30" s="10"/>
      <c r="AF30" s="10"/>
      <c r="AG30" s="10"/>
      <c r="AH30" s="11"/>
    </row>
    <row r="31" spans="1:34" x14ac:dyDescent="0.25">
      <c r="A31" s="43" t="str">
        <f t="shared" si="0"/>
        <v>QF01012-NES-C04518-SDW-CIV-02-BLAD04-3FL0501</v>
      </c>
      <c r="B31" s="8" t="s">
        <v>113</v>
      </c>
      <c r="C31" s="8" t="s">
        <v>69</v>
      </c>
      <c r="D31" s="8" t="s">
        <v>70</v>
      </c>
      <c r="E31" s="8" t="s">
        <v>71</v>
      </c>
      <c r="F31" s="9" t="s">
        <v>72</v>
      </c>
      <c r="G31" s="9" t="s">
        <v>73</v>
      </c>
      <c r="H31" s="25">
        <v>46008</v>
      </c>
      <c r="I31" s="25" t="s">
        <v>74</v>
      </c>
      <c r="J31" s="9" t="s">
        <v>111</v>
      </c>
      <c r="K31" s="9"/>
      <c r="L31" s="9" t="s">
        <v>76</v>
      </c>
      <c r="M31" s="9" t="s">
        <v>77</v>
      </c>
      <c r="N31" s="9" t="s">
        <v>78</v>
      </c>
      <c r="O31" s="9" t="s">
        <v>79</v>
      </c>
      <c r="P31" s="9" t="s">
        <v>80</v>
      </c>
      <c r="Q31" s="9" t="s">
        <v>91</v>
      </c>
      <c r="R31" s="9" t="s">
        <v>112</v>
      </c>
      <c r="S31" s="9" t="s">
        <v>88</v>
      </c>
      <c r="T31" s="9" t="s">
        <v>84</v>
      </c>
      <c r="U31" s="9" t="s">
        <v>89</v>
      </c>
      <c r="V31" s="24" t="str">
        <f t="shared" si="1"/>
        <v>Infrastructure</v>
      </c>
      <c r="W31" s="10" t="s">
        <v>6</v>
      </c>
      <c r="X31" s="10" t="s">
        <v>86</v>
      </c>
      <c r="Y31" s="10"/>
      <c r="Z31" s="10"/>
      <c r="AA31" s="10"/>
      <c r="AB31" s="22">
        <f>_xlfn.XLOOKUP(TIDP[[#This Row],[ACTIVITY ID]],Baseline[Activity Code],Baseline[Finish],"",0)</f>
        <v>46026</v>
      </c>
      <c r="AC31" s="10"/>
      <c r="AD31" s="10"/>
      <c r="AE31" s="10"/>
      <c r="AF31" s="10"/>
      <c r="AG31" s="10"/>
      <c r="AH31" s="11"/>
    </row>
    <row r="32" spans="1:34" x14ac:dyDescent="0.25">
      <c r="A32" s="43" t="str">
        <f t="shared" si="0"/>
        <v>QF01012-NES-C04518-SDW-CIV-00-Z00000-5ZZ1908</v>
      </c>
      <c r="B32" s="8" t="s">
        <v>114</v>
      </c>
      <c r="C32" s="8" t="s">
        <v>69</v>
      </c>
      <c r="D32" s="8" t="s">
        <v>70</v>
      </c>
      <c r="E32" s="8" t="s">
        <v>71</v>
      </c>
      <c r="F32" s="9" t="s">
        <v>72</v>
      </c>
      <c r="G32" s="9" t="s">
        <v>73</v>
      </c>
      <c r="H32" s="25">
        <v>46008</v>
      </c>
      <c r="I32" s="25" t="s">
        <v>74</v>
      </c>
      <c r="J32" s="9" t="s">
        <v>111</v>
      </c>
      <c r="K32" s="9"/>
      <c r="L32" s="9" t="s">
        <v>76</v>
      </c>
      <c r="M32" s="9" t="s">
        <v>77</v>
      </c>
      <c r="N32" s="9" t="s">
        <v>78</v>
      </c>
      <c r="O32" s="9" t="s">
        <v>79</v>
      </c>
      <c r="P32" s="9" t="s">
        <v>80</v>
      </c>
      <c r="Q32" s="9" t="s">
        <v>14</v>
      </c>
      <c r="R32" s="9" t="s">
        <v>115</v>
      </c>
      <c r="S32" s="9" t="s">
        <v>116</v>
      </c>
      <c r="T32" s="9" t="s">
        <v>117</v>
      </c>
      <c r="U32" s="9" t="s">
        <v>118</v>
      </c>
      <c r="V32" s="24" t="s">
        <v>8</v>
      </c>
      <c r="W32" s="10" t="s">
        <v>6</v>
      </c>
      <c r="X32" s="10" t="s">
        <v>86</v>
      </c>
      <c r="Y32" s="10"/>
      <c r="Z32" s="10"/>
      <c r="AA32" s="10"/>
      <c r="AB32" s="22">
        <v>46012</v>
      </c>
      <c r="AC32" s="10"/>
      <c r="AD32" s="10"/>
      <c r="AE32" s="10"/>
      <c r="AF32" s="10"/>
      <c r="AG32" s="10"/>
      <c r="AH32" s="11"/>
    </row>
    <row r="33" spans="1:34" x14ac:dyDescent="0.25">
      <c r="A33" s="43" t="str">
        <f t="shared" si="0"/>
        <v>QF01012-NES-C04518-SDW-CIV-00-Z00000-5ZZ1909</v>
      </c>
      <c r="B33" s="8" t="s">
        <v>119</v>
      </c>
      <c r="C33" s="8" t="s">
        <v>69</v>
      </c>
      <c r="D33" s="8" t="s">
        <v>70</v>
      </c>
      <c r="E33" s="8" t="s">
        <v>71</v>
      </c>
      <c r="F33" s="9" t="s">
        <v>72</v>
      </c>
      <c r="G33" s="9" t="s">
        <v>73</v>
      </c>
      <c r="H33" s="25">
        <v>46008</v>
      </c>
      <c r="I33" s="25" t="s">
        <v>74</v>
      </c>
      <c r="J33" s="9" t="s">
        <v>111</v>
      </c>
      <c r="K33" s="9"/>
      <c r="L33" s="9" t="s">
        <v>76</v>
      </c>
      <c r="M33" s="9" t="s">
        <v>77</v>
      </c>
      <c r="N33" s="9" t="s">
        <v>78</v>
      </c>
      <c r="O33" s="9" t="s">
        <v>79</v>
      </c>
      <c r="P33" s="9" t="s">
        <v>80</v>
      </c>
      <c r="Q33" s="9" t="s">
        <v>14</v>
      </c>
      <c r="R33" s="9" t="s">
        <v>115</v>
      </c>
      <c r="S33" s="9" t="s">
        <v>116</v>
      </c>
      <c r="T33" s="9" t="s">
        <v>117</v>
      </c>
      <c r="U33" s="9" t="s">
        <v>120</v>
      </c>
      <c r="V33" s="24" t="s">
        <v>8</v>
      </c>
      <c r="W33" s="10" t="s">
        <v>6</v>
      </c>
      <c r="X33" s="10" t="s">
        <v>86</v>
      </c>
      <c r="Y33" s="10"/>
      <c r="Z33" s="10"/>
      <c r="AA33" s="10"/>
      <c r="AB33" s="22">
        <v>46012</v>
      </c>
      <c r="AC33" s="10"/>
      <c r="AD33" s="10"/>
      <c r="AE33" s="10"/>
      <c r="AF33" s="10"/>
      <c r="AG33" s="10"/>
      <c r="AH33" s="11"/>
    </row>
    <row r="34" spans="1:34" x14ac:dyDescent="0.25">
      <c r="A34" s="43" t="str">
        <f t="shared" si="0"/>
        <v>QF01012-NES-C04518-SDW-CIV-00-Z00000-5ZZ1910</v>
      </c>
      <c r="B34" s="8" t="s">
        <v>119</v>
      </c>
      <c r="C34" s="8" t="s">
        <v>69</v>
      </c>
      <c r="D34" s="8" t="s">
        <v>70</v>
      </c>
      <c r="E34" s="8" t="s">
        <v>71</v>
      </c>
      <c r="F34" s="9" t="s">
        <v>72</v>
      </c>
      <c r="G34" s="9" t="s">
        <v>73</v>
      </c>
      <c r="H34" s="25">
        <v>46008</v>
      </c>
      <c r="I34" s="25" t="s">
        <v>74</v>
      </c>
      <c r="J34" s="9" t="s">
        <v>111</v>
      </c>
      <c r="K34" s="9"/>
      <c r="L34" s="9" t="s">
        <v>76</v>
      </c>
      <c r="M34" s="9" t="s">
        <v>77</v>
      </c>
      <c r="N34" s="9" t="s">
        <v>78</v>
      </c>
      <c r="O34" s="9" t="s">
        <v>79</v>
      </c>
      <c r="P34" s="9" t="s">
        <v>80</v>
      </c>
      <c r="Q34" s="9" t="s">
        <v>14</v>
      </c>
      <c r="R34" s="9" t="s">
        <v>115</v>
      </c>
      <c r="S34" s="9" t="s">
        <v>116</v>
      </c>
      <c r="T34" s="9" t="s">
        <v>117</v>
      </c>
      <c r="U34" s="9" t="s">
        <v>121</v>
      </c>
      <c r="V34" s="24" t="s">
        <v>8</v>
      </c>
      <c r="W34" s="10" t="s">
        <v>6</v>
      </c>
      <c r="X34" s="10" t="s">
        <v>86</v>
      </c>
      <c r="Y34" s="10"/>
      <c r="Z34" s="10"/>
      <c r="AA34" s="10"/>
      <c r="AB34" s="22">
        <v>46012</v>
      </c>
      <c r="AC34" s="10"/>
      <c r="AD34" s="10"/>
      <c r="AE34" s="10"/>
      <c r="AF34" s="10"/>
      <c r="AG34" s="10"/>
      <c r="AH34" s="11"/>
    </row>
    <row r="35" spans="1:34" x14ac:dyDescent="0.25">
      <c r="A35" s="43" t="str">
        <f t="shared" si="0"/>
        <v>QF01012-NES-C04518-SDW-CIV-00-Z00000-5ZZ1911</v>
      </c>
      <c r="B35" s="8" t="s">
        <v>122</v>
      </c>
      <c r="C35" s="8" t="s">
        <v>69</v>
      </c>
      <c r="D35" s="8" t="s">
        <v>70</v>
      </c>
      <c r="E35" s="8" t="s">
        <v>71</v>
      </c>
      <c r="F35" s="9" t="s">
        <v>72</v>
      </c>
      <c r="G35" s="9" t="s">
        <v>73</v>
      </c>
      <c r="H35" s="25">
        <v>46008</v>
      </c>
      <c r="I35" s="25" t="s">
        <v>74</v>
      </c>
      <c r="J35" s="9" t="s">
        <v>111</v>
      </c>
      <c r="K35" s="9"/>
      <c r="L35" s="9" t="s">
        <v>76</v>
      </c>
      <c r="M35" s="9" t="s">
        <v>77</v>
      </c>
      <c r="N35" s="9" t="s">
        <v>78</v>
      </c>
      <c r="O35" s="9" t="s">
        <v>79</v>
      </c>
      <c r="P35" s="9" t="s">
        <v>80</v>
      </c>
      <c r="Q35" s="9" t="s">
        <v>14</v>
      </c>
      <c r="R35" s="9" t="s">
        <v>115</v>
      </c>
      <c r="S35" s="9" t="s">
        <v>116</v>
      </c>
      <c r="T35" s="9" t="s">
        <v>117</v>
      </c>
      <c r="U35" s="9" t="s">
        <v>123</v>
      </c>
      <c r="V35" s="24" t="s">
        <v>8</v>
      </c>
      <c r="W35" s="10" t="s">
        <v>6</v>
      </c>
      <c r="X35" s="10" t="s">
        <v>86</v>
      </c>
      <c r="Y35" s="10"/>
      <c r="Z35" s="10"/>
      <c r="AA35" s="10"/>
      <c r="AB35" s="22">
        <v>46012</v>
      </c>
      <c r="AC35" s="10"/>
      <c r="AD35" s="10"/>
      <c r="AE35" s="10"/>
      <c r="AF35" s="10"/>
      <c r="AG35" s="10"/>
      <c r="AH35" s="11"/>
    </row>
    <row r="36" spans="1:34" x14ac:dyDescent="0.25">
      <c r="A36" s="43" t="str">
        <f t="shared" si="0"/>
        <v>QF01012-NES-C04518-SDW-CIV-04-BLAD04-3FL0503</v>
      </c>
      <c r="B36" s="8" t="s">
        <v>124</v>
      </c>
      <c r="C36" s="8" t="s">
        <v>69</v>
      </c>
      <c r="D36" s="8" t="s">
        <v>70</v>
      </c>
      <c r="E36" s="8" t="s">
        <v>71</v>
      </c>
      <c r="F36" s="9" t="s">
        <v>72</v>
      </c>
      <c r="G36" s="9" t="s">
        <v>73</v>
      </c>
      <c r="H36" s="25">
        <v>46008</v>
      </c>
      <c r="I36" s="25" t="s">
        <v>74</v>
      </c>
      <c r="J36" s="9" t="s">
        <v>111</v>
      </c>
      <c r="K36" s="9"/>
      <c r="L36" s="9" t="s">
        <v>76</v>
      </c>
      <c r="M36" s="9" t="s">
        <v>77</v>
      </c>
      <c r="N36" s="9" t="s">
        <v>78</v>
      </c>
      <c r="O36" s="9" t="s">
        <v>79</v>
      </c>
      <c r="P36" s="9" t="s">
        <v>80</v>
      </c>
      <c r="Q36" s="9" t="s">
        <v>97</v>
      </c>
      <c r="R36" s="9" t="s">
        <v>112</v>
      </c>
      <c r="S36" s="9" t="s">
        <v>88</v>
      </c>
      <c r="T36" s="9" t="s">
        <v>84</v>
      </c>
      <c r="U36" s="9" t="s">
        <v>95</v>
      </c>
      <c r="V36" s="24" t="s">
        <v>8</v>
      </c>
      <c r="W36" s="10" t="s">
        <v>6</v>
      </c>
      <c r="X36" s="10" t="s">
        <v>86</v>
      </c>
      <c r="Y36" s="10"/>
      <c r="Z36" s="10"/>
      <c r="AA36" s="10"/>
      <c r="AB36" s="22">
        <v>46012</v>
      </c>
      <c r="AC36" s="10"/>
      <c r="AD36" s="10"/>
      <c r="AE36" s="10"/>
      <c r="AF36" s="10"/>
      <c r="AG36" s="10"/>
      <c r="AH36" s="11"/>
    </row>
    <row r="37" spans="1:34" x14ac:dyDescent="0.25">
      <c r="A37" s="43" t="str">
        <f t="shared" si="0"/>
        <v>QF01012-NES-C04518-SDW-CIV-03-BLAD04-3FL0502</v>
      </c>
      <c r="B37" s="8" t="s">
        <v>125</v>
      </c>
      <c r="C37" s="8" t="s">
        <v>69</v>
      </c>
      <c r="D37" s="8" t="s">
        <v>70</v>
      </c>
      <c r="E37" s="8" t="s">
        <v>71</v>
      </c>
      <c r="F37" s="9" t="s">
        <v>72</v>
      </c>
      <c r="G37" s="9" t="s">
        <v>73</v>
      </c>
      <c r="H37" s="25">
        <v>46008</v>
      </c>
      <c r="I37" s="25" t="s">
        <v>74</v>
      </c>
      <c r="J37" s="9" t="s">
        <v>111</v>
      </c>
      <c r="K37" s="9"/>
      <c r="L37" s="9" t="s">
        <v>76</v>
      </c>
      <c r="M37" s="9" t="s">
        <v>77</v>
      </c>
      <c r="N37" s="9" t="s">
        <v>78</v>
      </c>
      <c r="O37" s="9" t="s">
        <v>79</v>
      </c>
      <c r="P37" s="9" t="s">
        <v>80</v>
      </c>
      <c r="Q37" s="9" t="s">
        <v>94</v>
      </c>
      <c r="R37" s="9" t="s">
        <v>112</v>
      </c>
      <c r="S37" s="9" t="s">
        <v>88</v>
      </c>
      <c r="T37" s="9" t="s">
        <v>84</v>
      </c>
      <c r="U37" s="9" t="s">
        <v>92</v>
      </c>
      <c r="V37" s="24" t="str">
        <f t="shared" ref="V37:V68" si="2">IF($B$6="","",$B$6)</f>
        <v>Infrastructure</v>
      </c>
      <c r="W37" s="10" t="s">
        <v>6</v>
      </c>
      <c r="X37" s="10" t="s">
        <v>86</v>
      </c>
      <c r="Y37" s="10"/>
      <c r="Z37" s="10"/>
      <c r="AA37" s="10"/>
      <c r="AB37" s="22">
        <f>_xlfn.XLOOKUP(TIDP[[#This Row],[ACTIVITY ID]],Baseline[Activity Code],Baseline[Finish],"",0)</f>
        <v>46026</v>
      </c>
      <c r="AC37" s="10"/>
      <c r="AD37" s="10"/>
      <c r="AE37" s="10"/>
      <c r="AF37" s="10"/>
      <c r="AG37" s="10"/>
      <c r="AH37" s="11"/>
    </row>
    <row r="38" spans="1:34" x14ac:dyDescent="0.25">
      <c r="A38" s="43" t="str">
        <f t="shared" si="0"/>
        <v>QF01012-NES-C04518-SDW-CIV-04-BLAD04-7FL0101</v>
      </c>
      <c r="B38" s="8" t="s">
        <v>126</v>
      </c>
      <c r="C38" s="8" t="s">
        <v>69</v>
      </c>
      <c r="D38" s="8" t="s">
        <v>70</v>
      </c>
      <c r="E38" s="8" t="s">
        <v>71</v>
      </c>
      <c r="F38" s="9" t="s">
        <v>72</v>
      </c>
      <c r="G38" s="9" t="s">
        <v>73</v>
      </c>
      <c r="H38" s="25">
        <v>46008</v>
      </c>
      <c r="I38" s="25" t="s">
        <v>74</v>
      </c>
      <c r="J38" s="9" t="s">
        <v>111</v>
      </c>
      <c r="K38" s="9"/>
      <c r="L38" s="9" t="s">
        <v>76</v>
      </c>
      <c r="M38" s="9" t="s">
        <v>77</v>
      </c>
      <c r="N38" s="9" t="s">
        <v>78</v>
      </c>
      <c r="O38" s="9" t="s">
        <v>79</v>
      </c>
      <c r="P38" s="9" t="s">
        <v>80</v>
      </c>
      <c r="Q38" s="9" t="s">
        <v>97</v>
      </c>
      <c r="R38" s="9" t="s">
        <v>112</v>
      </c>
      <c r="S38" s="9" t="s">
        <v>127</v>
      </c>
      <c r="T38" s="9" t="s">
        <v>84</v>
      </c>
      <c r="U38" s="9" t="s">
        <v>85</v>
      </c>
      <c r="V38" s="24" t="str">
        <f t="shared" si="2"/>
        <v>Infrastructure</v>
      </c>
      <c r="W38" s="10" t="s">
        <v>6</v>
      </c>
      <c r="X38" s="10" t="s">
        <v>86</v>
      </c>
      <c r="Y38" s="10"/>
      <c r="Z38" s="10"/>
      <c r="AA38" s="10"/>
      <c r="AB38" s="22">
        <f>_xlfn.XLOOKUP(TIDP[[#This Row],[ACTIVITY ID]],Baseline[Activity Code],Baseline[Finish],"",0)</f>
        <v>46026</v>
      </c>
      <c r="AC38" s="10"/>
      <c r="AD38" s="10"/>
      <c r="AE38" s="10"/>
      <c r="AF38" s="10"/>
      <c r="AG38" s="10"/>
      <c r="AH38" s="11"/>
    </row>
    <row r="39" spans="1:34" x14ac:dyDescent="0.25">
      <c r="A39" s="43" t="str">
        <f t="shared" si="0"/>
        <v>QF01012-NES-C04518-SDW-CIV-04-BLAD04-7FL0501</v>
      </c>
      <c r="B39" s="8" t="s">
        <v>128</v>
      </c>
      <c r="C39" s="8" t="s">
        <v>69</v>
      </c>
      <c r="D39" s="8" t="s">
        <v>70</v>
      </c>
      <c r="E39" s="8" t="s">
        <v>71</v>
      </c>
      <c r="F39" s="9" t="s">
        <v>72</v>
      </c>
      <c r="G39" s="9" t="s">
        <v>73</v>
      </c>
      <c r="H39" s="25">
        <v>46008</v>
      </c>
      <c r="I39" s="25" t="s">
        <v>74</v>
      </c>
      <c r="J39" s="9" t="s">
        <v>111</v>
      </c>
      <c r="K39" s="9"/>
      <c r="L39" s="9" t="s">
        <v>76</v>
      </c>
      <c r="M39" s="9" t="s">
        <v>77</v>
      </c>
      <c r="N39" s="9" t="s">
        <v>78</v>
      </c>
      <c r="O39" s="9" t="s">
        <v>79</v>
      </c>
      <c r="P39" s="9" t="s">
        <v>80</v>
      </c>
      <c r="Q39" s="9" t="s">
        <v>97</v>
      </c>
      <c r="R39" s="9" t="s">
        <v>112</v>
      </c>
      <c r="S39" s="9" t="s">
        <v>127</v>
      </c>
      <c r="T39" s="9" t="s">
        <v>84</v>
      </c>
      <c r="U39" s="9" t="s">
        <v>89</v>
      </c>
      <c r="V39" s="24" t="str">
        <f t="shared" si="2"/>
        <v>Infrastructure</v>
      </c>
      <c r="W39" s="10" t="s">
        <v>6</v>
      </c>
      <c r="X39" s="10" t="s">
        <v>86</v>
      </c>
      <c r="Y39" s="10"/>
      <c r="Z39" s="10"/>
      <c r="AA39" s="10"/>
      <c r="AB39" s="22">
        <f>_xlfn.XLOOKUP(TIDP[[#This Row],[ACTIVITY ID]],Baseline[Activity Code],Baseline[Finish],"",0)</f>
        <v>46026</v>
      </c>
      <c r="AC39" s="10"/>
      <c r="AD39" s="10"/>
      <c r="AE39" s="10"/>
      <c r="AF39" s="10"/>
      <c r="AG39" s="10"/>
      <c r="AH39" s="11"/>
    </row>
    <row r="40" spans="1:34" x14ac:dyDescent="0.25">
      <c r="A40" s="43" t="str">
        <f t="shared" si="0"/>
        <v>QF01012-NES-C04518-SDW-CIV-04-BLAD04-7FL0502</v>
      </c>
      <c r="B40" s="8" t="s">
        <v>129</v>
      </c>
      <c r="C40" s="8" t="s">
        <v>69</v>
      </c>
      <c r="D40" s="8" t="s">
        <v>70</v>
      </c>
      <c r="E40" s="8" t="s">
        <v>71</v>
      </c>
      <c r="F40" s="9" t="s">
        <v>72</v>
      </c>
      <c r="G40" s="9" t="s">
        <v>73</v>
      </c>
      <c r="H40" s="25">
        <v>46008</v>
      </c>
      <c r="I40" s="25" t="s">
        <v>74</v>
      </c>
      <c r="J40" s="9" t="s">
        <v>111</v>
      </c>
      <c r="K40" s="9"/>
      <c r="L40" s="9" t="s">
        <v>76</v>
      </c>
      <c r="M40" s="9" t="s">
        <v>77</v>
      </c>
      <c r="N40" s="9" t="s">
        <v>78</v>
      </c>
      <c r="O40" s="9" t="s">
        <v>79</v>
      </c>
      <c r="P40" s="9" t="s">
        <v>80</v>
      </c>
      <c r="Q40" s="9" t="s">
        <v>97</v>
      </c>
      <c r="R40" s="9" t="s">
        <v>112</v>
      </c>
      <c r="S40" s="9" t="s">
        <v>127</v>
      </c>
      <c r="T40" s="9" t="s">
        <v>84</v>
      </c>
      <c r="U40" s="9" t="s">
        <v>92</v>
      </c>
      <c r="V40" s="24" t="str">
        <f t="shared" si="2"/>
        <v>Infrastructure</v>
      </c>
      <c r="W40" s="10" t="s">
        <v>6</v>
      </c>
      <c r="X40" s="10" t="s">
        <v>86</v>
      </c>
      <c r="Y40" s="10"/>
      <c r="Z40" s="10"/>
      <c r="AA40" s="10"/>
      <c r="AB40" s="22">
        <f>_xlfn.XLOOKUP(TIDP[[#This Row],[ACTIVITY ID]],Baseline[Activity Code],Baseline[Finish],"",0)</f>
        <v>46026</v>
      </c>
      <c r="AC40" s="10"/>
      <c r="AD40" s="10"/>
      <c r="AE40" s="10"/>
      <c r="AF40" s="10"/>
      <c r="AG40" s="10"/>
      <c r="AH40" s="11"/>
    </row>
    <row r="41" spans="1:34" x14ac:dyDescent="0.25">
      <c r="A41" s="43" t="str">
        <f t="shared" si="0"/>
        <v>QF01012-NES-C04518-SDW-CIV-04-BLAD04-7FL0503</v>
      </c>
      <c r="B41" s="8" t="s">
        <v>130</v>
      </c>
      <c r="C41" s="8" t="s">
        <v>69</v>
      </c>
      <c r="D41" s="8" t="s">
        <v>70</v>
      </c>
      <c r="E41" s="8" t="s">
        <v>71</v>
      </c>
      <c r="F41" s="9" t="s">
        <v>72</v>
      </c>
      <c r="G41" s="9" t="s">
        <v>73</v>
      </c>
      <c r="H41" s="25">
        <v>46008</v>
      </c>
      <c r="I41" s="25" t="s">
        <v>74</v>
      </c>
      <c r="J41" s="9" t="s">
        <v>111</v>
      </c>
      <c r="K41" s="9"/>
      <c r="L41" s="9" t="s">
        <v>76</v>
      </c>
      <c r="M41" s="9" t="s">
        <v>77</v>
      </c>
      <c r="N41" s="9" t="s">
        <v>78</v>
      </c>
      <c r="O41" s="9" t="s">
        <v>79</v>
      </c>
      <c r="P41" s="9" t="s">
        <v>80</v>
      </c>
      <c r="Q41" s="9" t="s">
        <v>97</v>
      </c>
      <c r="R41" s="9" t="s">
        <v>112</v>
      </c>
      <c r="S41" s="9" t="s">
        <v>127</v>
      </c>
      <c r="T41" s="9" t="s">
        <v>84</v>
      </c>
      <c r="U41" s="9" t="s">
        <v>95</v>
      </c>
      <c r="V41" s="24" t="str">
        <f t="shared" si="2"/>
        <v>Infrastructure</v>
      </c>
      <c r="W41" s="10" t="s">
        <v>6</v>
      </c>
      <c r="X41" s="10" t="s">
        <v>86</v>
      </c>
      <c r="Y41" s="10"/>
      <c r="Z41" s="10"/>
      <c r="AA41" s="10"/>
      <c r="AB41" s="22">
        <f>_xlfn.XLOOKUP(TIDP[[#This Row],[ACTIVITY ID]],Baseline[Activity Code],Baseline[Finish],"",0)</f>
        <v>46026</v>
      </c>
      <c r="AC41" s="10"/>
      <c r="AD41" s="10"/>
      <c r="AE41" s="10"/>
      <c r="AF41" s="10"/>
      <c r="AG41" s="10"/>
      <c r="AH41" s="11"/>
    </row>
    <row r="42" spans="1:34" x14ac:dyDescent="0.25">
      <c r="A42" s="43" t="str">
        <f t="shared" si="0"/>
        <v>QF01012-NES-C04518-SDW-CIV-01-BLAD05-2FL0101</v>
      </c>
      <c r="B42" s="8" t="s">
        <v>131</v>
      </c>
      <c r="C42" s="8" t="s">
        <v>69</v>
      </c>
      <c r="D42" s="8" t="s">
        <v>70</v>
      </c>
      <c r="E42" s="8" t="s">
        <v>71</v>
      </c>
      <c r="F42" s="9" t="s">
        <v>72</v>
      </c>
      <c r="G42" s="9" t="s">
        <v>73</v>
      </c>
      <c r="H42" s="25">
        <v>46008</v>
      </c>
      <c r="I42" s="25" t="s">
        <v>74</v>
      </c>
      <c r="J42" s="9" t="s">
        <v>132</v>
      </c>
      <c r="K42" s="9"/>
      <c r="L42" s="9" t="s">
        <v>76</v>
      </c>
      <c r="M42" s="9" t="s">
        <v>77</v>
      </c>
      <c r="N42" s="9" t="s">
        <v>78</v>
      </c>
      <c r="O42" s="9" t="s">
        <v>79</v>
      </c>
      <c r="P42" s="9" t="s">
        <v>80</v>
      </c>
      <c r="Q42" s="9" t="s">
        <v>81</v>
      </c>
      <c r="R42" s="9" t="s">
        <v>133</v>
      </c>
      <c r="S42" s="9" t="s">
        <v>83</v>
      </c>
      <c r="T42" s="9" t="s">
        <v>84</v>
      </c>
      <c r="U42" s="9" t="s">
        <v>85</v>
      </c>
      <c r="V42" s="24" t="str">
        <f t="shared" si="2"/>
        <v>Infrastructure</v>
      </c>
      <c r="W42" s="10" t="s">
        <v>6</v>
      </c>
      <c r="X42" s="10" t="s">
        <v>86</v>
      </c>
      <c r="Y42" s="10"/>
      <c r="Z42" s="10"/>
      <c r="AA42" s="10"/>
      <c r="AB42" s="22">
        <f>_xlfn.XLOOKUP(TIDP[[#This Row],[ACTIVITY ID]],Baseline[Activity Code],Baseline[Finish],"",0)</f>
        <v>46005</v>
      </c>
      <c r="AC42" s="10"/>
      <c r="AD42" s="10"/>
      <c r="AE42" s="10"/>
      <c r="AF42" s="10"/>
      <c r="AG42" s="10"/>
      <c r="AH42" s="11"/>
    </row>
    <row r="43" spans="1:34" x14ac:dyDescent="0.25">
      <c r="A43" s="43" t="str">
        <f t="shared" si="0"/>
        <v>QF01012-NES-C04518-SDW-CIV-02-BLAD05-3FL0501</v>
      </c>
      <c r="B43" s="8" t="s">
        <v>134</v>
      </c>
      <c r="C43" s="8" t="s">
        <v>69</v>
      </c>
      <c r="D43" s="8" t="s">
        <v>70</v>
      </c>
      <c r="E43" s="8" t="s">
        <v>71</v>
      </c>
      <c r="F43" s="9" t="s">
        <v>72</v>
      </c>
      <c r="G43" s="9" t="s">
        <v>73</v>
      </c>
      <c r="H43" s="25">
        <v>46008</v>
      </c>
      <c r="I43" s="25" t="s">
        <v>74</v>
      </c>
      <c r="J43" s="9" t="s">
        <v>132</v>
      </c>
      <c r="K43" s="9"/>
      <c r="L43" s="9" t="s">
        <v>76</v>
      </c>
      <c r="M43" s="9" t="s">
        <v>77</v>
      </c>
      <c r="N43" s="9" t="s">
        <v>78</v>
      </c>
      <c r="O43" s="9" t="s">
        <v>79</v>
      </c>
      <c r="P43" s="9" t="s">
        <v>80</v>
      </c>
      <c r="Q43" s="9" t="s">
        <v>91</v>
      </c>
      <c r="R43" s="9" t="s">
        <v>133</v>
      </c>
      <c r="S43" s="9" t="s">
        <v>88</v>
      </c>
      <c r="T43" s="9" t="s">
        <v>84</v>
      </c>
      <c r="U43" s="9" t="s">
        <v>89</v>
      </c>
      <c r="V43" s="24" t="str">
        <f t="shared" si="2"/>
        <v>Infrastructure</v>
      </c>
      <c r="W43" s="10" t="s">
        <v>6</v>
      </c>
      <c r="X43" s="10" t="s">
        <v>86</v>
      </c>
      <c r="Y43" s="10"/>
      <c r="Z43" s="10"/>
      <c r="AA43" s="10"/>
      <c r="AB43" s="22">
        <f>_xlfn.XLOOKUP(TIDP[[#This Row],[ACTIVITY ID]],Baseline[Activity Code],Baseline[Finish],"",0)</f>
        <v>46005</v>
      </c>
      <c r="AC43" s="10"/>
      <c r="AD43" s="10"/>
      <c r="AE43" s="10"/>
      <c r="AF43" s="10"/>
      <c r="AG43" s="10"/>
      <c r="AH43" s="11"/>
    </row>
    <row r="44" spans="1:34" x14ac:dyDescent="0.25">
      <c r="A44" s="43" t="str">
        <f t="shared" si="0"/>
        <v>QF01012-NES-C04518-SDW-CIV-03-BLAD05-3FL0502</v>
      </c>
      <c r="B44" s="8" t="s">
        <v>135</v>
      </c>
      <c r="C44" s="8" t="s">
        <v>69</v>
      </c>
      <c r="D44" s="8" t="s">
        <v>70</v>
      </c>
      <c r="E44" s="8" t="s">
        <v>71</v>
      </c>
      <c r="F44" s="9" t="s">
        <v>72</v>
      </c>
      <c r="G44" s="9" t="s">
        <v>73</v>
      </c>
      <c r="H44" s="25">
        <v>46008</v>
      </c>
      <c r="I44" s="25" t="s">
        <v>74</v>
      </c>
      <c r="J44" s="9" t="s">
        <v>132</v>
      </c>
      <c r="K44" s="9"/>
      <c r="L44" s="9" t="s">
        <v>76</v>
      </c>
      <c r="M44" s="9" t="s">
        <v>77</v>
      </c>
      <c r="N44" s="9" t="s">
        <v>78</v>
      </c>
      <c r="O44" s="9" t="s">
        <v>79</v>
      </c>
      <c r="P44" s="9" t="s">
        <v>80</v>
      </c>
      <c r="Q44" s="9" t="s">
        <v>94</v>
      </c>
      <c r="R44" s="9" t="s">
        <v>133</v>
      </c>
      <c r="S44" s="9" t="s">
        <v>88</v>
      </c>
      <c r="T44" s="9" t="s">
        <v>84</v>
      </c>
      <c r="U44" s="9" t="s">
        <v>92</v>
      </c>
      <c r="V44" s="24" t="str">
        <f t="shared" si="2"/>
        <v>Infrastructure</v>
      </c>
      <c r="W44" s="10" t="s">
        <v>6</v>
      </c>
      <c r="X44" s="10" t="s">
        <v>86</v>
      </c>
      <c r="Y44" s="10"/>
      <c r="Z44" s="10"/>
      <c r="AA44" s="10"/>
      <c r="AB44" s="22">
        <f>_xlfn.XLOOKUP(TIDP[[#This Row],[ACTIVITY ID]],Baseline[Activity Code],Baseline[Finish],"",0)</f>
        <v>46005</v>
      </c>
      <c r="AC44" s="10"/>
      <c r="AD44" s="10"/>
      <c r="AE44" s="10"/>
      <c r="AF44" s="10"/>
      <c r="AG44" s="10"/>
      <c r="AH44" s="11"/>
    </row>
    <row r="45" spans="1:34" x14ac:dyDescent="0.25">
      <c r="A45" s="43" t="str">
        <f t="shared" si="0"/>
        <v>QF01012-NES-C04518-SDW-CIV-04-BLAD05-3FL0503</v>
      </c>
      <c r="B45" s="8" t="s">
        <v>136</v>
      </c>
      <c r="C45" s="8" t="s">
        <v>69</v>
      </c>
      <c r="D45" s="8" t="s">
        <v>70</v>
      </c>
      <c r="E45" s="8" t="s">
        <v>71</v>
      </c>
      <c r="F45" s="9" t="s">
        <v>72</v>
      </c>
      <c r="G45" s="9" t="s">
        <v>73</v>
      </c>
      <c r="H45" s="25">
        <v>46008</v>
      </c>
      <c r="I45" s="25" t="s">
        <v>74</v>
      </c>
      <c r="J45" s="9" t="s">
        <v>132</v>
      </c>
      <c r="K45" s="9"/>
      <c r="L45" s="9" t="s">
        <v>76</v>
      </c>
      <c r="M45" s="9" t="s">
        <v>77</v>
      </c>
      <c r="N45" s="9" t="s">
        <v>78</v>
      </c>
      <c r="O45" s="9" t="s">
        <v>79</v>
      </c>
      <c r="P45" s="9" t="s">
        <v>80</v>
      </c>
      <c r="Q45" s="9" t="s">
        <v>97</v>
      </c>
      <c r="R45" s="9" t="s">
        <v>133</v>
      </c>
      <c r="S45" s="9" t="s">
        <v>88</v>
      </c>
      <c r="T45" s="9" t="s">
        <v>84</v>
      </c>
      <c r="U45" s="9" t="s">
        <v>95</v>
      </c>
      <c r="V45" s="24" t="str">
        <f t="shared" si="2"/>
        <v>Infrastructure</v>
      </c>
      <c r="W45" s="10" t="s">
        <v>6</v>
      </c>
      <c r="X45" s="10" t="s">
        <v>86</v>
      </c>
      <c r="Y45" s="10"/>
      <c r="Z45" s="10"/>
      <c r="AA45" s="10"/>
      <c r="AB45" s="22">
        <f>_xlfn.XLOOKUP(TIDP[[#This Row],[ACTIVITY ID]],Baseline[Activity Code],Baseline[Finish],"",0)</f>
        <v>46005</v>
      </c>
      <c r="AC45" s="10"/>
      <c r="AD45" s="10"/>
      <c r="AE45" s="10"/>
      <c r="AF45" s="10"/>
      <c r="AG45" s="10"/>
      <c r="AH45" s="11"/>
    </row>
    <row r="46" spans="1:34" x14ac:dyDescent="0.25">
      <c r="A46" s="43" t="str">
        <f t="shared" si="0"/>
        <v>QF01012-NES-C04518-SDW-CIV-00-CENT01-2ZZ0100</v>
      </c>
      <c r="B46" s="8" t="s">
        <v>137</v>
      </c>
      <c r="C46" s="8" t="s">
        <v>69</v>
      </c>
      <c r="D46" s="8" t="s">
        <v>70</v>
      </c>
      <c r="E46" s="8" t="s">
        <v>71</v>
      </c>
      <c r="F46" s="9" t="s">
        <v>72</v>
      </c>
      <c r="G46" s="9" t="s">
        <v>138</v>
      </c>
      <c r="H46" s="25">
        <v>45966</v>
      </c>
      <c r="I46" s="25" t="s">
        <v>139</v>
      </c>
      <c r="J46" s="9" t="s">
        <v>140</v>
      </c>
      <c r="K46" s="9"/>
      <c r="L46" s="9" t="s">
        <v>76</v>
      </c>
      <c r="M46" s="9" t="s">
        <v>77</v>
      </c>
      <c r="N46" s="9" t="s">
        <v>78</v>
      </c>
      <c r="O46" s="9" t="s">
        <v>79</v>
      </c>
      <c r="P46" s="9" t="s">
        <v>80</v>
      </c>
      <c r="Q46" s="9" t="s">
        <v>14</v>
      </c>
      <c r="R46" s="9" t="s">
        <v>141</v>
      </c>
      <c r="S46" s="9" t="s">
        <v>83</v>
      </c>
      <c r="T46" s="9" t="s">
        <v>117</v>
      </c>
      <c r="U46" s="9" t="s">
        <v>142</v>
      </c>
      <c r="V46" s="24" t="str">
        <f t="shared" si="2"/>
        <v>Infrastructure</v>
      </c>
      <c r="W46" s="10" t="s">
        <v>6</v>
      </c>
      <c r="X46" s="10" t="s">
        <v>86</v>
      </c>
      <c r="Y46" s="10"/>
      <c r="Z46" s="10"/>
      <c r="AA46" s="10"/>
      <c r="AB46" s="22">
        <f>_xlfn.XLOOKUP(TIDP[[#This Row],[ACTIVITY ID]],Baseline[Activity Code],Baseline[Finish],"",0)</f>
        <v>45972</v>
      </c>
      <c r="AC46" s="10"/>
      <c r="AD46" s="10"/>
      <c r="AE46" s="10"/>
      <c r="AF46" s="10"/>
      <c r="AG46" s="10"/>
      <c r="AH46" s="11"/>
    </row>
    <row r="47" spans="1:34" x14ac:dyDescent="0.25">
      <c r="A47" s="43" t="str">
        <f t="shared" si="0"/>
        <v>QF01012-NES-C04518-SDW-CIV-01-CENT01-2FL0101</v>
      </c>
      <c r="B47" s="8" t="s">
        <v>143</v>
      </c>
      <c r="C47" s="8" t="s">
        <v>69</v>
      </c>
      <c r="D47" s="8" t="s">
        <v>70</v>
      </c>
      <c r="E47" s="8" t="s">
        <v>71</v>
      </c>
      <c r="F47" s="9" t="s">
        <v>72</v>
      </c>
      <c r="G47" s="9" t="s">
        <v>144</v>
      </c>
      <c r="H47" s="25">
        <v>45966</v>
      </c>
      <c r="I47" s="25" t="s">
        <v>139</v>
      </c>
      <c r="J47" s="9" t="s">
        <v>140</v>
      </c>
      <c r="K47" s="9"/>
      <c r="L47" s="9" t="s">
        <v>76</v>
      </c>
      <c r="M47" s="9" t="s">
        <v>77</v>
      </c>
      <c r="N47" s="9" t="s">
        <v>78</v>
      </c>
      <c r="O47" s="9" t="s">
        <v>79</v>
      </c>
      <c r="P47" s="9" t="s">
        <v>80</v>
      </c>
      <c r="Q47" s="9" t="s">
        <v>81</v>
      </c>
      <c r="R47" s="9" t="s">
        <v>141</v>
      </c>
      <c r="S47" s="9" t="s">
        <v>83</v>
      </c>
      <c r="T47" s="9" t="s">
        <v>84</v>
      </c>
      <c r="U47" s="9" t="s">
        <v>85</v>
      </c>
      <c r="V47" s="24" t="str">
        <f t="shared" si="2"/>
        <v>Infrastructure</v>
      </c>
      <c r="W47" s="10" t="s">
        <v>6</v>
      </c>
      <c r="X47" s="10" t="s">
        <v>86</v>
      </c>
      <c r="Y47" s="10"/>
      <c r="Z47" s="10"/>
      <c r="AA47" s="10"/>
      <c r="AB47" s="22">
        <f>_xlfn.XLOOKUP(TIDP[[#This Row],[ACTIVITY ID]],Baseline[Activity Code],Baseline[Finish],"",0)</f>
        <v>45972</v>
      </c>
      <c r="AC47" s="10"/>
      <c r="AD47" s="10"/>
      <c r="AE47" s="10"/>
      <c r="AF47" s="10"/>
      <c r="AG47" s="10"/>
      <c r="AH47" s="11"/>
    </row>
    <row r="48" spans="1:34" x14ac:dyDescent="0.25">
      <c r="A48" s="43" t="str">
        <f t="shared" si="0"/>
        <v>QF01012-NES-C04518-SDW-CIV-02-CENT01-2FL0102</v>
      </c>
      <c r="B48" s="8" t="s">
        <v>145</v>
      </c>
      <c r="C48" s="8" t="s">
        <v>69</v>
      </c>
      <c r="D48" s="8" t="s">
        <v>70</v>
      </c>
      <c r="E48" s="8" t="s">
        <v>71</v>
      </c>
      <c r="F48" s="9" t="s">
        <v>72</v>
      </c>
      <c r="G48" s="9" t="s">
        <v>144</v>
      </c>
      <c r="H48" s="25">
        <v>45966</v>
      </c>
      <c r="I48" s="25" t="s">
        <v>139</v>
      </c>
      <c r="J48" s="9" t="s">
        <v>140</v>
      </c>
      <c r="K48" s="9"/>
      <c r="L48" s="9" t="s">
        <v>76</v>
      </c>
      <c r="M48" s="9" t="s">
        <v>77</v>
      </c>
      <c r="N48" s="9" t="s">
        <v>78</v>
      </c>
      <c r="O48" s="9" t="s">
        <v>79</v>
      </c>
      <c r="P48" s="9" t="s">
        <v>80</v>
      </c>
      <c r="Q48" s="9" t="s">
        <v>91</v>
      </c>
      <c r="R48" s="9" t="s">
        <v>141</v>
      </c>
      <c r="S48" s="9" t="s">
        <v>83</v>
      </c>
      <c r="T48" s="9" t="s">
        <v>84</v>
      </c>
      <c r="U48" s="9" t="s">
        <v>146</v>
      </c>
      <c r="V48" s="24" t="str">
        <f t="shared" si="2"/>
        <v>Infrastructure</v>
      </c>
      <c r="W48" s="10" t="s">
        <v>6</v>
      </c>
      <c r="X48" s="10" t="s">
        <v>86</v>
      </c>
      <c r="Y48" s="10"/>
      <c r="Z48" s="10"/>
      <c r="AA48" s="10"/>
      <c r="AB48" s="22">
        <f>_xlfn.XLOOKUP(TIDP[[#This Row],[ACTIVITY ID]],Baseline[Activity Code],Baseline[Finish],"",0)</f>
        <v>45972</v>
      </c>
      <c r="AC48" s="10"/>
      <c r="AD48" s="10"/>
      <c r="AE48" s="10"/>
      <c r="AF48" s="10"/>
      <c r="AG48" s="10"/>
      <c r="AH48" s="11"/>
    </row>
    <row r="49" spans="1:34" x14ac:dyDescent="0.25">
      <c r="A49" s="43" t="str">
        <f t="shared" ref="A49:A80" si="3">CONCATENATE(TRIM(L49),"-",TRIM(M49),"-",TRIM(N49),"-",TRIM(O49),"-",TRIM(P49),"-",TRIM(Q49),"-",TRIM(R49),"-",TRIM(S49),TRIM(T49),TRIM(U49))</f>
        <v>QF01012-NES-C04518-SDW-CIV-03-CENT01-2FL0103</v>
      </c>
      <c r="B49" s="8" t="s">
        <v>147</v>
      </c>
      <c r="C49" s="8" t="s">
        <v>69</v>
      </c>
      <c r="D49" s="8" t="s">
        <v>70</v>
      </c>
      <c r="E49" s="8" t="s">
        <v>71</v>
      </c>
      <c r="F49" s="9" t="s">
        <v>72</v>
      </c>
      <c r="G49" s="9" t="s">
        <v>144</v>
      </c>
      <c r="H49" s="25">
        <v>45966</v>
      </c>
      <c r="I49" s="25" t="s">
        <v>139</v>
      </c>
      <c r="J49" s="9" t="s">
        <v>140</v>
      </c>
      <c r="K49" s="9"/>
      <c r="L49" s="9" t="s">
        <v>76</v>
      </c>
      <c r="M49" s="9" t="s">
        <v>77</v>
      </c>
      <c r="N49" s="9" t="s">
        <v>78</v>
      </c>
      <c r="O49" s="9" t="s">
        <v>79</v>
      </c>
      <c r="P49" s="9" t="s">
        <v>80</v>
      </c>
      <c r="Q49" s="9" t="s">
        <v>94</v>
      </c>
      <c r="R49" s="9" t="s">
        <v>141</v>
      </c>
      <c r="S49" s="9" t="s">
        <v>83</v>
      </c>
      <c r="T49" s="9" t="s">
        <v>84</v>
      </c>
      <c r="U49" s="9" t="s">
        <v>148</v>
      </c>
      <c r="V49" s="24" t="str">
        <f t="shared" si="2"/>
        <v>Infrastructure</v>
      </c>
      <c r="W49" s="10" t="s">
        <v>6</v>
      </c>
      <c r="X49" s="10" t="s">
        <v>86</v>
      </c>
      <c r="Y49" s="10"/>
      <c r="Z49" s="10"/>
      <c r="AA49" s="10"/>
      <c r="AB49" s="22">
        <f>_xlfn.XLOOKUP(TIDP[[#This Row],[ACTIVITY ID]],Baseline[Activity Code],Baseline[Finish],"",0)</f>
        <v>45972</v>
      </c>
      <c r="AC49" s="10"/>
      <c r="AD49" s="10"/>
      <c r="AE49" s="10"/>
      <c r="AF49" s="10"/>
      <c r="AG49" s="10"/>
      <c r="AH49" s="11"/>
    </row>
    <row r="50" spans="1:34" x14ac:dyDescent="0.25">
      <c r="A50" s="43" t="str">
        <f t="shared" si="3"/>
        <v>QF01012-NES-C04518-SDW-CIV-04-CENT01-2FL0104</v>
      </c>
      <c r="B50" s="8" t="s">
        <v>149</v>
      </c>
      <c r="C50" s="8" t="s">
        <v>69</v>
      </c>
      <c r="D50" s="8" t="s">
        <v>70</v>
      </c>
      <c r="E50" s="8" t="s">
        <v>71</v>
      </c>
      <c r="F50" s="9" t="s">
        <v>72</v>
      </c>
      <c r="G50" s="9" t="s">
        <v>144</v>
      </c>
      <c r="H50" s="25">
        <v>45966</v>
      </c>
      <c r="I50" s="25" t="s">
        <v>139</v>
      </c>
      <c r="J50" s="9" t="s">
        <v>140</v>
      </c>
      <c r="K50" s="9"/>
      <c r="L50" s="9" t="s">
        <v>76</v>
      </c>
      <c r="M50" s="9" t="s">
        <v>77</v>
      </c>
      <c r="N50" s="9" t="s">
        <v>78</v>
      </c>
      <c r="O50" s="9" t="s">
        <v>79</v>
      </c>
      <c r="P50" s="9" t="s">
        <v>80</v>
      </c>
      <c r="Q50" s="9" t="s">
        <v>97</v>
      </c>
      <c r="R50" s="9" t="s">
        <v>141</v>
      </c>
      <c r="S50" s="9" t="s">
        <v>83</v>
      </c>
      <c r="T50" s="9" t="s">
        <v>84</v>
      </c>
      <c r="U50" s="9" t="s">
        <v>150</v>
      </c>
      <c r="V50" s="24" t="str">
        <f t="shared" si="2"/>
        <v>Infrastructure</v>
      </c>
      <c r="W50" s="10" t="s">
        <v>6</v>
      </c>
      <c r="X50" s="10" t="s">
        <v>86</v>
      </c>
      <c r="Y50" s="10"/>
      <c r="Z50" s="10"/>
      <c r="AA50" s="10"/>
      <c r="AB50" s="22">
        <f>_xlfn.XLOOKUP(TIDP[[#This Row],[ACTIVITY ID]],Baseline[Activity Code],Baseline[Finish],"",0)</f>
        <v>45972</v>
      </c>
      <c r="AC50" s="10"/>
      <c r="AD50" s="10"/>
      <c r="AE50" s="10"/>
      <c r="AF50" s="10"/>
      <c r="AG50" s="10"/>
      <c r="AH50" s="11"/>
    </row>
    <row r="51" spans="1:34" x14ac:dyDescent="0.25">
      <c r="A51" s="43" t="str">
        <f t="shared" si="3"/>
        <v>QF01012-NES-C04518-SDW-CIV-05-CENT01-2FL0105</v>
      </c>
      <c r="B51" s="8" t="s">
        <v>151</v>
      </c>
      <c r="C51" s="8" t="s">
        <v>69</v>
      </c>
      <c r="D51" s="8" t="s">
        <v>70</v>
      </c>
      <c r="E51" s="8" t="s">
        <v>71</v>
      </c>
      <c r="F51" s="9" t="s">
        <v>72</v>
      </c>
      <c r="G51" s="9" t="s">
        <v>144</v>
      </c>
      <c r="H51" s="25">
        <v>45966</v>
      </c>
      <c r="I51" s="25" t="s">
        <v>139</v>
      </c>
      <c r="J51" s="9" t="s">
        <v>140</v>
      </c>
      <c r="K51" s="9"/>
      <c r="L51" s="9" t="s">
        <v>76</v>
      </c>
      <c r="M51" s="9" t="s">
        <v>77</v>
      </c>
      <c r="N51" s="9" t="s">
        <v>78</v>
      </c>
      <c r="O51" s="9" t="s">
        <v>79</v>
      </c>
      <c r="P51" s="9" t="s">
        <v>80</v>
      </c>
      <c r="Q51" s="9" t="s">
        <v>152</v>
      </c>
      <c r="R51" s="9" t="s">
        <v>141</v>
      </c>
      <c r="S51" s="9" t="s">
        <v>83</v>
      </c>
      <c r="T51" s="9" t="s">
        <v>84</v>
      </c>
      <c r="U51" s="9" t="s">
        <v>153</v>
      </c>
      <c r="V51" s="24" t="str">
        <f t="shared" si="2"/>
        <v>Infrastructure</v>
      </c>
      <c r="W51" s="10" t="s">
        <v>6</v>
      </c>
      <c r="X51" s="10" t="s">
        <v>86</v>
      </c>
      <c r="Y51" s="10"/>
      <c r="Z51" s="10"/>
      <c r="AA51" s="10"/>
      <c r="AB51" s="22">
        <f>_xlfn.XLOOKUP(TIDP[[#This Row],[ACTIVITY ID]],Baseline[Activity Code],Baseline[Finish],"",0)</f>
        <v>45972</v>
      </c>
      <c r="AC51" s="10"/>
      <c r="AD51" s="10"/>
      <c r="AE51" s="10"/>
      <c r="AF51" s="10"/>
      <c r="AG51" s="10"/>
      <c r="AH51" s="11"/>
    </row>
    <row r="52" spans="1:34" x14ac:dyDescent="0.25">
      <c r="A52" s="43" t="str">
        <f t="shared" si="3"/>
        <v>QF01012-NES-C04518-SDW-CIV-06-CENT01-2FL0106</v>
      </c>
      <c r="B52" s="8" t="s">
        <v>154</v>
      </c>
      <c r="C52" s="8" t="s">
        <v>69</v>
      </c>
      <c r="D52" s="8" t="s">
        <v>70</v>
      </c>
      <c r="E52" s="8" t="s">
        <v>71</v>
      </c>
      <c r="F52" s="9" t="s">
        <v>72</v>
      </c>
      <c r="G52" s="9" t="s">
        <v>144</v>
      </c>
      <c r="H52" s="25">
        <v>45966</v>
      </c>
      <c r="I52" s="25" t="s">
        <v>139</v>
      </c>
      <c r="J52" s="9" t="s">
        <v>140</v>
      </c>
      <c r="K52" s="9"/>
      <c r="L52" s="9" t="s">
        <v>76</v>
      </c>
      <c r="M52" s="9" t="s">
        <v>77</v>
      </c>
      <c r="N52" s="9" t="s">
        <v>78</v>
      </c>
      <c r="O52" s="9" t="s">
        <v>79</v>
      </c>
      <c r="P52" s="9" t="s">
        <v>80</v>
      </c>
      <c r="Q52" s="9" t="s">
        <v>155</v>
      </c>
      <c r="R52" s="9" t="s">
        <v>141</v>
      </c>
      <c r="S52" s="9" t="s">
        <v>83</v>
      </c>
      <c r="T52" s="9" t="s">
        <v>84</v>
      </c>
      <c r="U52" s="9" t="s">
        <v>156</v>
      </c>
      <c r="V52" s="24" t="str">
        <f t="shared" si="2"/>
        <v>Infrastructure</v>
      </c>
      <c r="W52" s="10" t="s">
        <v>6</v>
      </c>
      <c r="X52" s="10" t="s">
        <v>86</v>
      </c>
      <c r="Y52" s="10"/>
      <c r="Z52" s="10"/>
      <c r="AA52" s="10"/>
      <c r="AB52" s="22">
        <f>_xlfn.XLOOKUP(TIDP[[#This Row],[ACTIVITY ID]],Baseline[Activity Code],Baseline[Finish],"",0)</f>
        <v>45972</v>
      </c>
      <c r="AC52" s="10"/>
      <c r="AD52" s="10"/>
      <c r="AE52" s="10"/>
      <c r="AF52" s="10"/>
      <c r="AG52" s="10"/>
      <c r="AH52" s="11"/>
    </row>
    <row r="53" spans="1:34" x14ac:dyDescent="0.25">
      <c r="A53" s="43" t="str">
        <f t="shared" si="3"/>
        <v>QF01012-NES-C04518-SDW-CIV-01-CENT01-3FL0501</v>
      </c>
      <c r="B53" s="8" t="s">
        <v>157</v>
      </c>
      <c r="C53" s="8" t="s">
        <v>69</v>
      </c>
      <c r="D53" s="8" t="s">
        <v>70</v>
      </c>
      <c r="E53" s="8" t="s">
        <v>71</v>
      </c>
      <c r="F53" s="9" t="s">
        <v>72</v>
      </c>
      <c r="G53" s="9" t="s">
        <v>144</v>
      </c>
      <c r="H53" s="25">
        <v>45966</v>
      </c>
      <c r="I53" s="25" t="s">
        <v>139</v>
      </c>
      <c r="J53" s="9" t="s">
        <v>158</v>
      </c>
      <c r="K53" s="9"/>
      <c r="L53" s="9" t="s">
        <v>76</v>
      </c>
      <c r="M53" s="9" t="s">
        <v>77</v>
      </c>
      <c r="N53" s="9" t="s">
        <v>78</v>
      </c>
      <c r="O53" s="9" t="s">
        <v>79</v>
      </c>
      <c r="P53" s="9" t="s">
        <v>80</v>
      </c>
      <c r="Q53" s="9" t="s">
        <v>81</v>
      </c>
      <c r="R53" s="9" t="s">
        <v>141</v>
      </c>
      <c r="S53" s="9" t="s">
        <v>88</v>
      </c>
      <c r="T53" s="9" t="s">
        <v>84</v>
      </c>
      <c r="U53" s="9" t="s">
        <v>89</v>
      </c>
      <c r="V53" s="24" t="str">
        <f t="shared" si="2"/>
        <v>Infrastructure</v>
      </c>
      <c r="W53" s="10" t="s">
        <v>6</v>
      </c>
      <c r="X53" s="10" t="s">
        <v>86</v>
      </c>
      <c r="Y53" s="10"/>
      <c r="Z53" s="10"/>
      <c r="AA53" s="10"/>
      <c r="AB53" s="22">
        <f>_xlfn.XLOOKUP(TIDP[[#This Row],[ACTIVITY ID]],Baseline[Activity Code],Baseline[Finish],"",0)</f>
        <v>45988</v>
      </c>
      <c r="AC53" s="10"/>
      <c r="AD53" s="10"/>
      <c r="AE53" s="10"/>
      <c r="AF53" s="10"/>
      <c r="AG53" s="10"/>
      <c r="AH53" s="11"/>
    </row>
    <row r="54" spans="1:34" x14ac:dyDescent="0.25">
      <c r="A54" s="43" t="str">
        <f t="shared" si="3"/>
        <v>QF01012-NES-C04518-SDW-CIV-02-CENT01-3FL0502</v>
      </c>
      <c r="B54" s="8" t="s">
        <v>159</v>
      </c>
      <c r="C54" s="8" t="s">
        <v>69</v>
      </c>
      <c r="D54" s="8" t="s">
        <v>70</v>
      </c>
      <c r="E54" s="8" t="s">
        <v>71</v>
      </c>
      <c r="F54" s="9" t="s">
        <v>72</v>
      </c>
      <c r="G54" s="9" t="s">
        <v>144</v>
      </c>
      <c r="H54" s="25">
        <v>45966</v>
      </c>
      <c r="I54" s="25" t="s">
        <v>139</v>
      </c>
      <c r="J54" s="9" t="s">
        <v>158</v>
      </c>
      <c r="K54" s="9"/>
      <c r="L54" s="9" t="s">
        <v>76</v>
      </c>
      <c r="M54" s="9" t="s">
        <v>77</v>
      </c>
      <c r="N54" s="9" t="s">
        <v>78</v>
      </c>
      <c r="O54" s="9" t="s">
        <v>79</v>
      </c>
      <c r="P54" s="9" t="s">
        <v>80</v>
      </c>
      <c r="Q54" s="9" t="s">
        <v>91</v>
      </c>
      <c r="R54" s="9" t="s">
        <v>141</v>
      </c>
      <c r="S54" s="9" t="s">
        <v>88</v>
      </c>
      <c r="T54" s="9" t="s">
        <v>84</v>
      </c>
      <c r="U54" s="9" t="s">
        <v>92</v>
      </c>
      <c r="V54" s="24" t="str">
        <f t="shared" si="2"/>
        <v>Infrastructure</v>
      </c>
      <c r="W54" s="10" t="s">
        <v>6</v>
      </c>
      <c r="X54" s="10" t="s">
        <v>86</v>
      </c>
      <c r="Y54" s="10"/>
      <c r="Z54" s="10"/>
      <c r="AA54" s="10"/>
      <c r="AB54" s="22">
        <f>_xlfn.XLOOKUP(TIDP[[#This Row],[ACTIVITY ID]],Baseline[Activity Code],Baseline[Finish],"",0)</f>
        <v>45988</v>
      </c>
      <c r="AC54" s="10"/>
      <c r="AD54" s="10"/>
      <c r="AE54" s="10"/>
      <c r="AF54" s="10"/>
      <c r="AG54" s="10"/>
      <c r="AH54" s="11"/>
    </row>
    <row r="55" spans="1:34" ht="16.5" customHeight="1" x14ac:dyDescent="0.25">
      <c r="A55" s="43" t="str">
        <f t="shared" si="3"/>
        <v>QF01012-NES-C04518-SDW-CIV-03-CENT01-3FL0503</v>
      </c>
      <c r="B55" s="8" t="s">
        <v>160</v>
      </c>
      <c r="C55" s="8" t="s">
        <v>69</v>
      </c>
      <c r="D55" s="8" t="s">
        <v>70</v>
      </c>
      <c r="E55" s="8" t="s">
        <v>71</v>
      </c>
      <c r="F55" s="9" t="s">
        <v>72</v>
      </c>
      <c r="G55" s="9" t="s">
        <v>73</v>
      </c>
      <c r="H55" s="25">
        <v>45966</v>
      </c>
      <c r="I55" s="25" t="s">
        <v>139</v>
      </c>
      <c r="J55" s="9" t="s">
        <v>158</v>
      </c>
      <c r="K55" s="9"/>
      <c r="L55" s="9" t="s">
        <v>76</v>
      </c>
      <c r="M55" s="9" t="s">
        <v>77</v>
      </c>
      <c r="N55" s="9" t="s">
        <v>78</v>
      </c>
      <c r="O55" s="9" t="s">
        <v>79</v>
      </c>
      <c r="P55" s="9" t="s">
        <v>80</v>
      </c>
      <c r="Q55" s="9" t="s">
        <v>94</v>
      </c>
      <c r="R55" s="9" t="s">
        <v>141</v>
      </c>
      <c r="S55" s="9" t="s">
        <v>88</v>
      </c>
      <c r="T55" s="9" t="s">
        <v>84</v>
      </c>
      <c r="U55" s="9" t="s">
        <v>95</v>
      </c>
      <c r="V55" s="24" t="str">
        <f t="shared" si="2"/>
        <v>Infrastructure</v>
      </c>
      <c r="W55" s="10" t="s">
        <v>6</v>
      </c>
      <c r="X55" s="10" t="s">
        <v>86</v>
      </c>
      <c r="Y55" s="10"/>
      <c r="Z55" s="10"/>
      <c r="AA55" s="10"/>
      <c r="AB55" s="22">
        <f>_xlfn.XLOOKUP(TIDP[[#This Row],[ACTIVITY ID]],Baseline[Activity Code],Baseline[Finish],"",0)</f>
        <v>45988</v>
      </c>
      <c r="AC55" s="10"/>
      <c r="AD55" s="10"/>
      <c r="AE55" s="10"/>
      <c r="AF55" s="10"/>
      <c r="AG55" s="10"/>
      <c r="AH55" s="11"/>
    </row>
    <row r="56" spans="1:34" x14ac:dyDescent="0.25">
      <c r="A56" s="43" t="str">
        <f t="shared" si="3"/>
        <v>QF01012-NES-C04518-SDW-CIV-04-CENT01-3FL0504</v>
      </c>
      <c r="B56" s="8" t="s">
        <v>161</v>
      </c>
      <c r="C56" s="8" t="s">
        <v>69</v>
      </c>
      <c r="D56" s="8" t="s">
        <v>70</v>
      </c>
      <c r="E56" s="8" t="s">
        <v>71</v>
      </c>
      <c r="F56" s="9" t="s">
        <v>72</v>
      </c>
      <c r="G56" s="9" t="s">
        <v>73</v>
      </c>
      <c r="H56" s="25">
        <v>45966</v>
      </c>
      <c r="I56" s="25" t="s">
        <v>139</v>
      </c>
      <c r="J56" s="9" t="s">
        <v>158</v>
      </c>
      <c r="K56" s="9"/>
      <c r="L56" s="9" t="s">
        <v>76</v>
      </c>
      <c r="M56" s="9" t="s">
        <v>77</v>
      </c>
      <c r="N56" s="9" t="s">
        <v>78</v>
      </c>
      <c r="O56" s="9" t="s">
        <v>79</v>
      </c>
      <c r="P56" s="9" t="s">
        <v>80</v>
      </c>
      <c r="Q56" s="9" t="s">
        <v>97</v>
      </c>
      <c r="R56" s="9" t="s">
        <v>141</v>
      </c>
      <c r="S56" s="9" t="s">
        <v>88</v>
      </c>
      <c r="T56" s="9" t="s">
        <v>84</v>
      </c>
      <c r="U56" s="9" t="s">
        <v>98</v>
      </c>
      <c r="V56" s="24" t="str">
        <f t="shared" si="2"/>
        <v>Infrastructure</v>
      </c>
      <c r="W56" s="10" t="s">
        <v>6</v>
      </c>
      <c r="X56" s="10" t="s">
        <v>86</v>
      </c>
      <c r="Y56" s="10"/>
      <c r="Z56" s="10"/>
      <c r="AA56" s="10"/>
      <c r="AB56" s="22">
        <f>_xlfn.XLOOKUP(TIDP[[#This Row],[ACTIVITY ID]],Baseline[Activity Code],Baseline[Finish],"",0)</f>
        <v>45988</v>
      </c>
      <c r="AC56" s="10"/>
      <c r="AD56" s="10"/>
      <c r="AE56" s="10"/>
      <c r="AF56" s="10"/>
      <c r="AG56" s="10"/>
      <c r="AH56" s="11"/>
    </row>
    <row r="57" spans="1:34" x14ac:dyDescent="0.25">
      <c r="A57" s="43" t="str">
        <f t="shared" si="3"/>
        <v>QF01012-NES-C04518-SDW-CIV-05-CENT01-3FL0505</v>
      </c>
      <c r="B57" s="8" t="s">
        <v>162</v>
      </c>
      <c r="C57" s="8" t="s">
        <v>69</v>
      </c>
      <c r="D57" s="8" t="s">
        <v>70</v>
      </c>
      <c r="E57" s="8" t="s">
        <v>71</v>
      </c>
      <c r="F57" s="9" t="s">
        <v>72</v>
      </c>
      <c r="G57" s="9" t="s">
        <v>73</v>
      </c>
      <c r="H57" s="25">
        <v>45966</v>
      </c>
      <c r="I57" s="25" t="s">
        <v>139</v>
      </c>
      <c r="J57" s="9" t="s">
        <v>158</v>
      </c>
      <c r="K57" s="9"/>
      <c r="L57" s="9" t="s">
        <v>76</v>
      </c>
      <c r="M57" s="9" t="s">
        <v>77</v>
      </c>
      <c r="N57" s="9" t="s">
        <v>78</v>
      </c>
      <c r="O57" s="9" t="s">
        <v>79</v>
      </c>
      <c r="P57" s="9" t="s">
        <v>80</v>
      </c>
      <c r="Q57" s="9" t="s">
        <v>152</v>
      </c>
      <c r="R57" s="9" t="s">
        <v>141</v>
      </c>
      <c r="S57" s="9" t="s">
        <v>88</v>
      </c>
      <c r="T57" s="9" t="s">
        <v>84</v>
      </c>
      <c r="U57" s="9" t="s">
        <v>163</v>
      </c>
      <c r="V57" s="24" t="str">
        <f t="shared" si="2"/>
        <v>Infrastructure</v>
      </c>
      <c r="W57" s="10" t="s">
        <v>6</v>
      </c>
      <c r="X57" s="10" t="s">
        <v>86</v>
      </c>
      <c r="Y57" s="10"/>
      <c r="Z57" s="10"/>
      <c r="AA57" s="10"/>
      <c r="AB57" s="22">
        <f>_xlfn.XLOOKUP(TIDP[[#This Row],[ACTIVITY ID]],Baseline[Activity Code],Baseline[Finish],"",0)</f>
        <v>45988</v>
      </c>
      <c r="AC57" s="10"/>
      <c r="AD57" s="10"/>
      <c r="AE57" s="10"/>
      <c r="AF57" s="10"/>
      <c r="AG57" s="10"/>
      <c r="AH57" s="11"/>
    </row>
    <row r="58" spans="1:34" x14ac:dyDescent="0.25">
      <c r="A58" s="43" t="str">
        <f t="shared" si="3"/>
        <v>QF01012-NES-C04518-SDW-CIV-06-CENT01-3FL0506</v>
      </c>
      <c r="B58" s="8" t="s">
        <v>164</v>
      </c>
      <c r="C58" s="8" t="s">
        <v>69</v>
      </c>
      <c r="D58" s="8" t="s">
        <v>70</v>
      </c>
      <c r="E58" s="8" t="s">
        <v>71</v>
      </c>
      <c r="F58" s="9" t="s">
        <v>72</v>
      </c>
      <c r="G58" s="9" t="s">
        <v>144</v>
      </c>
      <c r="H58" s="25">
        <v>45966</v>
      </c>
      <c r="I58" s="25" t="s">
        <v>139</v>
      </c>
      <c r="J58" s="9" t="s">
        <v>158</v>
      </c>
      <c r="K58" s="9"/>
      <c r="L58" s="9" t="s">
        <v>76</v>
      </c>
      <c r="M58" s="9" t="s">
        <v>77</v>
      </c>
      <c r="N58" s="9" t="s">
        <v>78</v>
      </c>
      <c r="O58" s="9" t="s">
        <v>79</v>
      </c>
      <c r="P58" s="9" t="s">
        <v>80</v>
      </c>
      <c r="Q58" s="9" t="s">
        <v>155</v>
      </c>
      <c r="R58" s="9" t="s">
        <v>141</v>
      </c>
      <c r="S58" s="9" t="s">
        <v>88</v>
      </c>
      <c r="T58" s="9" t="s">
        <v>84</v>
      </c>
      <c r="U58" s="9" t="s">
        <v>165</v>
      </c>
      <c r="V58" s="24" t="str">
        <f t="shared" si="2"/>
        <v>Infrastructure</v>
      </c>
      <c r="W58" s="10" t="s">
        <v>6</v>
      </c>
      <c r="X58" s="10" t="s">
        <v>86</v>
      </c>
      <c r="Y58" s="10"/>
      <c r="Z58" s="10"/>
      <c r="AA58" s="10"/>
      <c r="AB58" s="22">
        <f>_xlfn.XLOOKUP(TIDP[[#This Row],[ACTIVITY ID]],Baseline[Activity Code],Baseline[Finish],"",0)</f>
        <v>45988</v>
      </c>
      <c r="AC58" s="10"/>
      <c r="AD58" s="10"/>
      <c r="AE58" s="10"/>
      <c r="AF58" s="10"/>
      <c r="AG58" s="10"/>
      <c r="AH58" s="11"/>
    </row>
    <row r="59" spans="1:34" x14ac:dyDescent="0.25">
      <c r="A59" s="43" t="str">
        <f t="shared" si="3"/>
        <v>QF01012-NES-C04518-SDW-CIV-07-CENT01-3FL0507</v>
      </c>
      <c r="B59" s="8" t="s">
        <v>166</v>
      </c>
      <c r="C59" s="8" t="s">
        <v>69</v>
      </c>
      <c r="D59" s="8" t="s">
        <v>70</v>
      </c>
      <c r="E59" s="8" t="s">
        <v>71</v>
      </c>
      <c r="F59" s="9" t="s">
        <v>72</v>
      </c>
      <c r="G59" s="9" t="s">
        <v>144</v>
      </c>
      <c r="H59" s="25">
        <v>45966</v>
      </c>
      <c r="I59" s="25" t="s">
        <v>139</v>
      </c>
      <c r="J59" s="9" t="s">
        <v>158</v>
      </c>
      <c r="K59" s="9"/>
      <c r="L59" s="9" t="s">
        <v>76</v>
      </c>
      <c r="M59" s="9" t="s">
        <v>77</v>
      </c>
      <c r="N59" s="9" t="s">
        <v>78</v>
      </c>
      <c r="O59" s="9" t="s">
        <v>79</v>
      </c>
      <c r="P59" s="9" t="s">
        <v>80</v>
      </c>
      <c r="Q59" s="9" t="s">
        <v>167</v>
      </c>
      <c r="R59" s="9" t="s">
        <v>141</v>
      </c>
      <c r="S59" s="9" t="s">
        <v>88</v>
      </c>
      <c r="T59" s="9" t="s">
        <v>84</v>
      </c>
      <c r="U59" s="9" t="s">
        <v>168</v>
      </c>
      <c r="V59" s="24" t="str">
        <f t="shared" si="2"/>
        <v>Infrastructure</v>
      </c>
      <c r="W59" s="10" t="s">
        <v>6</v>
      </c>
      <c r="X59" s="10" t="s">
        <v>86</v>
      </c>
      <c r="Y59" s="10"/>
      <c r="Z59" s="10"/>
      <c r="AA59" s="10"/>
      <c r="AB59" s="22">
        <f>_xlfn.XLOOKUP(TIDP[[#This Row],[ACTIVITY ID]],Baseline[Activity Code],Baseline[Finish],"",0)</f>
        <v>45988</v>
      </c>
      <c r="AC59" s="10"/>
      <c r="AD59" s="10"/>
      <c r="AE59" s="10"/>
      <c r="AF59" s="10"/>
      <c r="AG59" s="10"/>
      <c r="AH59" s="11"/>
    </row>
    <row r="60" spans="1:34" x14ac:dyDescent="0.25">
      <c r="A60" s="43" t="str">
        <f t="shared" si="3"/>
        <v>QF01012-NES-C04518-SDW-CIV-08-CENT01-3FL0508</v>
      </c>
      <c r="B60" s="8" t="s">
        <v>169</v>
      </c>
      <c r="C60" s="8" t="s">
        <v>69</v>
      </c>
      <c r="D60" s="8" t="s">
        <v>70</v>
      </c>
      <c r="E60" s="8" t="s">
        <v>71</v>
      </c>
      <c r="F60" s="9" t="s">
        <v>72</v>
      </c>
      <c r="G60" s="9" t="s">
        <v>144</v>
      </c>
      <c r="H60" s="25">
        <v>45966</v>
      </c>
      <c r="I60" s="25" t="s">
        <v>139</v>
      </c>
      <c r="J60" s="9" t="s">
        <v>158</v>
      </c>
      <c r="K60" s="9"/>
      <c r="L60" s="9" t="s">
        <v>76</v>
      </c>
      <c r="M60" s="9" t="s">
        <v>77</v>
      </c>
      <c r="N60" s="9" t="s">
        <v>78</v>
      </c>
      <c r="O60" s="9" t="s">
        <v>79</v>
      </c>
      <c r="P60" s="9" t="s">
        <v>80</v>
      </c>
      <c r="Q60" s="9" t="s">
        <v>170</v>
      </c>
      <c r="R60" s="9" t="s">
        <v>141</v>
      </c>
      <c r="S60" s="9" t="s">
        <v>88</v>
      </c>
      <c r="T60" s="9" t="s">
        <v>84</v>
      </c>
      <c r="U60" s="9" t="s">
        <v>171</v>
      </c>
      <c r="V60" s="24" t="str">
        <f t="shared" si="2"/>
        <v>Infrastructure</v>
      </c>
      <c r="W60" s="10" t="s">
        <v>6</v>
      </c>
      <c r="X60" s="10" t="s">
        <v>86</v>
      </c>
      <c r="Y60" s="10"/>
      <c r="Z60" s="10"/>
      <c r="AA60" s="10"/>
      <c r="AB60" s="22">
        <f>_xlfn.XLOOKUP(TIDP[[#This Row],[ACTIVITY ID]],Baseline[Activity Code],Baseline[Finish],"",0)</f>
        <v>45988</v>
      </c>
      <c r="AC60" s="10"/>
      <c r="AD60" s="10"/>
      <c r="AE60" s="10"/>
      <c r="AF60" s="10"/>
      <c r="AG60" s="10"/>
      <c r="AH60" s="11"/>
    </row>
    <row r="61" spans="1:34" x14ac:dyDescent="0.25">
      <c r="A61" s="43" t="str">
        <f t="shared" si="3"/>
        <v>QF01012-NES-C04518-SDW-CIV-09-CENT01-3FL0509</v>
      </c>
      <c r="B61" s="8" t="s">
        <v>172</v>
      </c>
      <c r="C61" s="8" t="s">
        <v>69</v>
      </c>
      <c r="D61" s="8" t="s">
        <v>70</v>
      </c>
      <c r="E61" s="8" t="s">
        <v>71</v>
      </c>
      <c r="F61" s="9" t="s">
        <v>72</v>
      </c>
      <c r="G61" s="9" t="s">
        <v>144</v>
      </c>
      <c r="H61" s="25">
        <v>45966</v>
      </c>
      <c r="I61" s="25" t="s">
        <v>139</v>
      </c>
      <c r="J61" s="9" t="s">
        <v>158</v>
      </c>
      <c r="K61" s="9"/>
      <c r="L61" s="9" t="s">
        <v>76</v>
      </c>
      <c r="M61" s="9" t="s">
        <v>77</v>
      </c>
      <c r="N61" s="9" t="s">
        <v>78</v>
      </c>
      <c r="O61" s="9" t="s">
        <v>79</v>
      </c>
      <c r="P61" s="9" t="s">
        <v>80</v>
      </c>
      <c r="Q61" s="9" t="s">
        <v>173</v>
      </c>
      <c r="R61" s="9" t="s">
        <v>141</v>
      </c>
      <c r="S61" s="9" t="s">
        <v>88</v>
      </c>
      <c r="T61" s="9" t="s">
        <v>84</v>
      </c>
      <c r="U61" s="9" t="s">
        <v>174</v>
      </c>
      <c r="V61" s="24" t="str">
        <f t="shared" si="2"/>
        <v>Infrastructure</v>
      </c>
      <c r="W61" s="10" t="s">
        <v>6</v>
      </c>
      <c r="X61" s="10" t="s">
        <v>86</v>
      </c>
      <c r="Y61" s="10"/>
      <c r="Z61" s="10"/>
      <c r="AA61" s="10"/>
      <c r="AB61" s="22">
        <f>_xlfn.XLOOKUP(TIDP[[#This Row],[ACTIVITY ID]],Baseline[Activity Code],Baseline[Finish],"",0)</f>
        <v>45988</v>
      </c>
      <c r="AC61" s="10"/>
      <c r="AD61" s="10"/>
      <c r="AE61" s="10"/>
      <c r="AF61" s="10"/>
      <c r="AG61" s="10"/>
      <c r="AH61" s="11"/>
    </row>
    <row r="62" spans="1:34" x14ac:dyDescent="0.25">
      <c r="A62" s="43" t="str">
        <f t="shared" si="3"/>
        <v>QF01012-NES-C04518-SDW-CIV-10-CENT01-3FL0510</v>
      </c>
      <c r="B62" s="8" t="s">
        <v>175</v>
      </c>
      <c r="C62" s="8" t="s">
        <v>69</v>
      </c>
      <c r="D62" s="8" t="s">
        <v>70</v>
      </c>
      <c r="E62" s="8" t="s">
        <v>71</v>
      </c>
      <c r="F62" s="9" t="s">
        <v>72</v>
      </c>
      <c r="G62" s="9" t="s">
        <v>144</v>
      </c>
      <c r="H62" s="25">
        <v>45966</v>
      </c>
      <c r="I62" s="25" t="s">
        <v>139</v>
      </c>
      <c r="J62" s="9" t="s">
        <v>158</v>
      </c>
      <c r="K62" s="9"/>
      <c r="L62" s="9" t="s">
        <v>76</v>
      </c>
      <c r="M62" s="9" t="s">
        <v>77</v>
      </c>
      <c r="N62" s="9" t="s">
        <v>78</v>
      </c>
      <c r="O62" s="9" t="s">
        <v>79</v>
      </c>
      <c r="P62" s="9" t="s">
        <v>80</v>
      </c>
      <c r="Q62" s="9" t="s">
        <v>176</v>
      </c>
      <c r="R62" s="9" t="s">
        <v>141</v>
      </c>
      <c r="S62" s="9" t="s">
        <v>88</v>
      </c>
      <c r="T62" s="9" t="s">
        <v>84</v>
      </c>
      <c r="U62" s="9" t="s">
        <v>177</v>
      </c>
      <c r="V62" s="24" t="str">
        <f t="shared" si="2"/>
        <v>Infrastructure</v>
      </c>
      <c r="W62" s="10" t="s">
        <v>6</v>
      </c>
      <c r="X62" s="10" t="s">
        <v>86</v>
      </c>
      <c r="Y62" s="10"/>
      <c r="Z62" s="10"/>
      <c r="AA62" s="10"/>
      <c r="AB62" s="22">
        <f>_xlfn.XLOOKUP(TIDP[[#This Row],[ACTIVITY ID]],Baseline[Activity Code],Baseline[Finish],"",0)</f>
        <v>45988</v>
      </c>
      <c r="AC62" s="10"/>
      <c r="AD62" s="10"/>
      <c r="AE62" s="10"/>
      <c r="AF62" s="10"/>
      <c r="AG62" s="10"/>
      <c r="AH62" s="11"/>
    </row>
    <row r="63" spans="1:34" x14ac:dyDescent="0.25">
      <c r="A63" s="43" t="str">
        <f t="shared" si="3"/>
        <v>QF01012-NES-C04518-SDW-CIV-11-CENT01-3FL0511</v>
      </c>
      <c r="B63" s="8" t="s">
        <v>178</v>
      </c>
      <c r="C63" s="8" t="s">
        <v>69</v>
      </c>
      <c r="D63" s="8" t="s">
        <v>70</v>
      </c>
      <c r="E63" s="8" t="s">
        <v>71</v>
      </c>
      <c r="F63" s="9" t="s">
        <v>72</v>
      </c>
      <c r="G63" s="9" t="s">
        <v>144</v>
      </c>
      <c r="H63" s="25">
        <v>45966</v>
      </c>
      <c r="I63" s="25" t="s">
        <v>139</v>
      </c>
      <c r="J63" s="9" t="s">
        <v>158</v>
      </c>
      <c r="K63" s="9"/>
      <c r="L63" s="9" t="s">
        <v>76</v>
      </c>
      <c r="M63" s="9" t="s">
        <v>77</v>
      </c>
      <c r="N63" s="9" t="s">
        <v>78</v>
      </c>
      <c r="O63" s="9" t="s">
        <v>79</v>
      </c>
      <c r="P63" s="9" t="s">
        <v>80</v>
      </c>
      <c r="Q63" s="9" t="s">
        <v>179</v>
      </c>
      <c r="R63" s="9" t="s">
        <v>141</v>
      </c>
      <c r="S63" s="9" t="s">
        <v>88</v>
      </c>
      <c r="T63" s="9" t="s">
        <v>84</v>
      </c>
      <c r="U63" s="9" t="s">
        <v>180</v>
      </c>
      <c r="V63" s="24" t="str">
        <f t="shared" si="2"/>
        <v>Infrastructure</v>
      </c>
      <c r="W63" s="10" t="s">
        <v>6</v>
      </c>
      <c r="X63" s="10" t="s">
        <v>86</v>
      </c>
      <c r="Y63" s="10"/>
      <c r="Z63" s="10"/>
      <c r="AA63" s="10"/>
      <c r="AB63" s="22">
        <f>_xlfn.XLOOKUP(TIDP[[#This Row],[ACTIVITY ID]],Baseline[Activity Code],Baseline[Finish],"",0)</f>
        <v>45988</v>
      </c>
      <c r="AC63" s="10"/>
      <c r="AD63" s="10"/>
      <c r="AE63" s="10"/>
      <c r="AF63" s="10"/>
      <c r="AG63" s="10"/>
      <c r="AH63" s="11"/>
    </row>
    <row r="64" spans="1:34" x14ac:dyDescent="0.25">
      <c r="A64" s="43" t="str">
        <f t="shared" si="3"/>
        <v>QF01012-NES-C04518-SDW-CIV-12-CENT01-3FL0512</v>
      </c>
      <c r="B64" s="8" t="s">
        <v>181</v>
      </c>
      <c r="C64" s="8" t="s">
        <v>69</v>
      </c>
      <c r="D64" s="8" t="s">
        <v>70</v>
      </c>
      <c r="E64" s="8" t="s">
        <v>71</v>
      </c>
      <c r="F64" s="9" t="s">
        <v>72</v>
      </c>
      <c r="G64" s="9" t="s">
        <v>144</v>
      </c>
      <c r="H64" s="25">
        <v>45966</v>
      </c>
      <c r="I64" s="25" t="s">
        <v>139</v>
      </c>
      <c r="J64" s="9" t="s">
        <v>158</v>
      </c>
      <c r="K64" s="9"/>
      <c r="L64" s="9" t="s">
        <v>76</v>
      </c>
      <c r="M64" s="9" t="s">
        <v>77</v>
      </c>
      <c r="N64" s="9" t="s">
        <v>78</v>
      </c>
      <c r="O64" s="9" t="s">
        <v>79</v>
      </c>
      <c r="P64" s="9" t="s">
        <v>80</v>
      </c>
      <c r="Q64" s="9" t="s">
        <v>182</v>
      </c>
      <c r="R64" s="9" t="s">
        <v>141</v>
      </c>
      <c r="S64" s="9" t="s">
        <v>88</v>
      </c>
      <c r="T64" s="9" t="s">
        <v>84</v>
      </c>
      <c r="U64" s="9" t="s">
        <v>183</v>
      </c>
      <c r="V64" s="24" t="str">
        <f t="shared" si="2"/>
        <v>Infrastructure</v>
      </c>
      <c r="W64" s="10" t="s">
        <v>6</v>
      </c>
      <c r="X64" s="10" t="s">
        <v>86</v>
      </c>
      <c r="Y64" s="10"/>
      <c r="Z64" s="10"/>
      <c r="AA64" s="10"/>
      <c r="AB64" s="22">
        <f>_xlfn.XLOOKUP(TIDP[[#This Row],[ACTIVITY ID]],Baseline[Activity Code],Baseline[Finish],"",0)</f>
        <v>45988</v>
      </c>
      <c r="AC64" s="10"/>
      <c r="AD64" s="10"/>
      <c r="AE64" s="10"/>
      <c r="AF64" s="10"/>
      <c r="AG64" s="10"/>
      <c r="AH64" s="11"/>
    </row>
    <row r="65" spans="1:34" x14ac:dyDescent="0.25">
      <c r="A65" s="63" t="str">
        <f t="shared" si="3"/>
        <v>QF01012-NES-C04518-SDW-CIV-00-Z00000-2ZZ0101</v>
      </c>
      <c r="B65" s="8" t="s">
        <v>184</v>
      </c>
      <c r="C65" s="8" t="s">
        <v>69</v>
      </c>
      <c r="D65" s="8" t="s">
        <v>70</v>
      </c>
      <c r="E65" s="8" t="s">
        <v>71</v>
      </c>
      <c r="F65" s="9" t="s">
        <v>72</v>
      </c>
      <c r="G65" s="9" t="s">
        <v>185</v>
      </c>
      <c r="H65" s="25">
        <v>46302</v>
      </c>
      <c r="I65" s="25" t="s">
        <v>186</v>
      </c>
      <c r="J65" s="9" t="s">
        <v>187</v>
      </c>
      <c r="K65" s="9"/>
      <c r="L65" s="9" t="s">
        <v>76</v>
      </c>
      <c r="M65" s="9" t="s">
        <v>77</v>
      </c>
      <c r="N65" s="9" t="s">
        <v>78</v>
      </c>
      <c r="O65" s="9" t="s">
        <v>79</v>
      </c>
      <c r="P65" s="9" t="s">
        <v>80</v>
      </c>
      <c r="Q65" s="9" t="s">
        <v>14</v>
      </c>
      <c r="R65" s="9" t="s">
        <v>115</v>
      </c>
      <c r="S65" s="9" t="s">
        <v>83</v>
      </c>
      <c r="T65" s="9" t="s">
        <v>117</v>
      </c>
      <c r="U65" s="9" t="s">
        <v>85</v>
      </c>
      <c r="V65" s="24" t="str">
        <f t="shared" si="2"/>
        <v>Infrastructure</v>
      </c>
      <c r="W65" s="10" t="s">
        <v>6</v>
      </c>
      <c r="X65" s="10" t="s">
        <v>86</v>
      </c>
      <c r="Y65" s="10"/>
      <c r="Z65" s="10"/>
      <c r="AA65" s="10"/>
      <c r="AB65" s="22">
        <f>_xlfn.XLOOKUP(TIDP[[#This Row],[ACTIVITY ID]],Baseline[Activity Code],Baseline[Finish],"",0)</f>
        <v>46425</v>
      </c>
      <c r="AC65" s="10"/>
      <c r="AD65" s="10"/>
      <c r="AE65" s="10"/>
      <c r="AF65" s="10"/>
      <c r="AG65" s="10"/>
      <c r="AH65" s="11"/>
    </row>
    <row r="66" spans="1:34" x14ac:dyDescent="0.25">
      <c r="A66" s="63" t="str">
        <f t="shared" si="3"/>
        <v>QF01012-NES-C04518-SDW-CIV-01-Z00000-2FL0101</v>
      </c>
      <c r="B66" s="8" t="s">
        <v>188</v>
      </c>
      <c r="C66" s="8" t="s">
        <v>69</v>
      </c>
      <c r="D66" s="8" t="s">
        <v>70</v>
      </c>
      <c r="E66" s="8" t="s">
        <v>71</v>
      </c>
      <c r="F66" s="9" t="s">
        <v>72</v>
      </c>
      <c r="G66" s="9" t="s">
        <v>189</v>
      </c>
      <c r="H66" s="25">
        <v>46302</v>
      </c>
      <c r="I66" s="25" t="s">
        <v>186</v>
      </c>
      <c r="J66" s="9" t="s">
        <v>187</v>
      </c>
      <c r="K66" s="9"/>
      <c r="L66" s="9" t="s">
        <v>76</v>
      </c>
      <c r="M66" s="9" t="s">
        <v>77</v>
      </c>
      <c r="N66" s="9" t="s">
        <v>78</v>
      </c>
      <c r="O66" s="9" t="s">
        <v>79</v>
      </c>
      <c r="P66" s="9" t="s">
        <v>80</v>
      </c>
      <c r="Q66" s="9" t="s">
        <v>81</v>
      </c>
      <c r="R66" s="9" t="s">
        <v>115</v>
      </c>
      <c r="S66" s="9" t="s">
        <v>83</v>
      </c>
      <c r="T66" s="9" t="s">
        <v>84</v>
      </c>
      <c r="U66" s="9" t="s">
        <v>85</v>
      </c>
      <c r="V66" s="24" t="str">
        <f t="shared" si="2"/>
        <v>Infrastructure</v>
      </c>
      <c r="W66" s="10" t="s">
        <v>6</v>
      </c>
      <c r="X66" s="10" t="s">
        <v>86</v>
      </c>
      <c r="Y66" s="10"/>
      <c r="Z66" s="10"/>
      <c r="AA66" s="10"/>
      <c r="AB66" s="22">
        <f>_xlfn.XLOOKUP(TIDP[[#This Row],[ACTIVITY ID]],Baseline[Activity Code],Baseline[Finish],"",0)</f>
        <v>46425</v>
      </c>
      <c r="AC66" s="10"/>
      <c r="AD66" s="10"/>
      <c r="AE66" s="10"/>
      <c r="AF66" s="10"/>
      <c r="AG66" s="10"/>
      <c r="AH66" s="11"/>
    </row>
    <row r="67" spans="1:34" x14ac:dyDescent="0.25">
      <c r="A67" s="63" t="str">
        <f t="shared" si="3"/>
        <v>QF01012-NES-C04518-SDW-CIV-02-Z00000-2FL0102</v>
      </c>
      <c r="B67" s="8" t="s">
        <v>190</v>
      </c>
      <c r="C67" s="8" t="s">
        <v>69</v>
      </c>
      <c r="D67" s="8" t="s">
        <v>70</v>
      </c>
      <c r="E67" s="8" t="s">
        <v>71</v>
      </c>
      <c r="F67" s="9" t="s">
        <v>72</v>
      </c>
      <c r="G67" s="9" t="s">
        <v>189</v>
      </c>
      <c r="H67" s="25">
        <v>46302</v>
      </c>
      <c r="I67" s="25" t="s">
        <v>186</v>
      </c>
      <c r="J67" s="9" t="s">
        <v>187</v>
      </c>
      <c r="K67" s="9"/>
      <c r="L67" s="9" t="s">
        <v>76</v>
      </c>
      <c r="M67" s="9" t="s">
        <v>77</v>
      </c>
      <c r="N67" s="9" t="s">
        <v>78</v>
      </c>
      <c r="O67" s="9" t="s">
        <v>79</v>
      </c>
      <c r="P67" s="9" t="s">
        <v>80</v>
      </c>
      <c r="Q67" s="9" t="s">
        <v>91</v>
      </c>
      <c r="R67" s="9" t="s">
        <v>115</v>
      </c>
      <c r="S67" s="9" t="s">
        <v>83</v>
      </c>
      <c r="T67" s="9" t="s">
        <v>84</v>
      </c>
      <c r="U67" s="9" t="s">
        <v>146</v>
      </c>
      <c r="V67" s="24" t="str">
        <f t="shared" si="2"/>
        <v>Infrastructure</v>
      </c>
      <c r="W67" s="10" t="s">
        <v>6</v>
      </c>
      <c r="X67" s="10" t="s">
        <v>86</v>
      </c>
      <c r="Y67" s="10"/>
      <c r="Z67" s="10"/>
      <c r="AA67" s="10"/>
      <c r="AB67" s="22">
        <f>_xlfn.XLOOKUP(TIDP[[#This Row],[ACTIVITY ID]],Baseline[Activity Code],Baseline[Finish],"",0)</f>
        <v>46425</v>
      </c>
      <c r="AC67" s="10"/>
      <c r="AD67" s="10"/>
      <c r="AE67" s="10"/>
      <c r="AF67" s="10"/>
      <c r="AG67" s="10"/>
      <c r="AH67" s="11"/>
    </row>
    <row r="68" spans="1:34" x14ac:dyDescent="0.25">
      <c r="A68" s="63" t="str">
        <f t="shared" si="3"/>
        <v>QF01012-NES-C04518-SDW-CIV-03-Z00000-2FL0103</v>
      </c>
      <c r="B68" s="8" t="s">
        <v>191</v>
      </c>
      <c r="C68" s="8" t="s">
        <v>69</v>
      </c>
      <c r="D68" s="8" t="s">
        <v>70</v>
      </c>
      <c r="E68" s="8" t="s">
        <v>71</v>
      </c>
      <c r="F68" s="9" t="s">
        <v>72</v>
      </c>
      <c r="G68" s="9" t="s">
        <v>189</v>
      </c>
      <c r="H68" s="25">
        <v>46302</v>
      </c>
      <c r="I68" s="25" t="s">
        <v>186</v>
      </c>
      <c r="J68" s="9" t="s">
        <v>187</v>
      </c>
      <c r="K68" s="9"/>
      <c r="L68" s="9" t="s">
        <v>76</v>
      </c>
      <c r="M68" s="9" t="s">
        <v>77</v>
      </c>
      <c r="N68" s="9" t="s">
        <v>78</v>
      </c>
      <c r="O68" s="9" t="s">
        <v>79</v>
      </c>
      <c r="P68" s="9" t="s">
        <v>80</v>
      </c>
      <c r="Q68" s="9" t="s">
        <v>94</v>
      </c>
      <c r="R68" s="9" t="s">
        <v>115</v>
      </c>
      <c r="S68" s="9" t="s">
        <v>83</v>
      </c>
      <c r="T68" s="9" t="s">
        <v>84</v>
      </c>
      <c r="U68" s="9" t="s">
        <v>148</v>
      </c>
      <c r="V68" s="24" t="str">
        <f t="shared" si="2"/>
        <v>Infrastructure</v>
      </c>
      <c r="W68" s="10" t="s">
        <v>6</v>
      </c>
      <c r="X68" s="10" t="s">
        <v>86</v>
      </c>
      <c r="Y68" s="10"/>
      <c r="Z68" s="10"/>
      <c r="AA68" s="10"/>
      <c r="AB68" s="22">
        <f>_xlfn.XLOOKUP(TIDP[[#This Row],[ACTIVITY ID]],Baseline[Activity Code],Baseline[Finish],"",0)</f>
        <v>46425</v>
      </c>
      <c r="AC68" s="10"/>
      <c r="AD68" s="10"/>
      <c r="AE68" s="10"/>
      <c r="AF68" s="10"/>
      <c r="AG68" s="10"/>
      <c r="AH68" s="11"/>
    </row>
    <row r="69" spans="1:34" x14ac:dyDescent="0.25">
      <c r="A69" s="63" t="str">
        <f t="shared" si="3"/>
        <v>QF01012-NES-C04518-SDW-CIV-04-Z00000-2FL0104</v>
      </c>
      <c r="B69" s="8" t="s">
        <v>192</v>
      </c>
      <c r="C69" s="8" t="s">
        <v>69</v>
      </c>
      <c r="D69" s="8" t="s">
        <v>70</v>
      </c>
      <c r="E69" s="8" t="s">
        <v>71</v>
      </c>
      <c r="F69" s="9" t="s">
        <v>72</v>
      </c>
      <c r="G69" s="9" t="s">
        <v>189</v>
      </c>
      <c r="H69" s="25">
        <v>46302</v>
      </c>
      <c r="I69" s="25" t="s">
        <v>186</v>
      </c>
      <c r="J69" s="9" t="s">
        <v>187</v>
      </c>
      <c r="K69" s="9"/>
      <c r="L69" s="9" t="s">
        <v>76</v>
      </c>
      <c r="M69" s="9" t="s">
        <v>77</v>
      </c>
      <c r="N69" s="9" t="s">
        <v>78</v>
      </c>
      <c r="O69" s="9" t="s">
        <v>79</v>
      </c>
      <c r="P69" s="9" t="s">
        <v>80</v>
      </c>
      <c r="Q69" s="9" t="s">
        <v>97</v>
      </c>
      <c r="R69" s="9" t="s">
        <v>115</v>
      </c>
      <c r="S69" s="9" t="s">
        <v>83</v>
      </c>
      <c r="T69" s="9" t="s">
        <v>84</v>
      </c>
      <c r="U69" s="9" t="s">
        <v>150</v>
      </c>
      <c r="V69" s="24" t="str">
        <f t="shared" ref="V69:V100" si="4">IF($B$6="","",$B$6)</f>
        <v>Infrastructure</v>
      </c>
      <c r="W69" s="10" t="s">
        <v>6</v>
      </c>
      <c r="X69" s="10" t="s">
        <v>86</v>
      </c>
      <c r="Y69" s="10"/>
      <c r="Z69" s="10"/>
      <c r="AA69" s="10"/>
      <c r="AB69" s="22">
        <f>_xlfn.XLOOKUP(TIDP[[#This Row],[ACTIVITY ID]],Baseline[Activity Code],Baseline[Finish],"",0)</f>
        <v>46425</v>
      </c>
      <c r="AC69" s="10"/>
      <c r="AD69" s="10"/>
      <c r="AE69" s="10"/>
      <c r="AF69" s="10"/>
      <c r="AG69" s="10"/>
      <c r="AH69" s="11"/>
    </row>
    <row r="70" spans="1:34" x14ac:dyDescent="0.25">
      <c r="A70" s="63" t="str">
        <f t="shared" si="3"/>
        <v>QF01012-NES-C04518-SDW-CIV-00-Z00000-2ZZ0102</v>
      </c>
      <c r="B70" s="8" t="s">
        <v>193</v>
      </c>
      <c r="C70" s="8" t="s">
        <v>69</v>
      </c>
      <c r="D70" s="8" t="s">
        <v>70</v>
      </c>
      <c r="E70" s="8" t="s">
        <v>71</v>
      </c>
      <c r="F70" s="9" t="s">
        <v>72</v>
      </c>
      <c r="G70" s="9" t="s">
        <v>189</v>
      </c>
      <c r="H70" s="25">
        <v>46302</v>
      </c>
      <c r="I70" s="25" t="s">
        <v>186</v>
      </c>
      <c r="J70" s="9" t="s">
        <v>187</v>
      </c>
      <c r="K70" s="9"/>
      <c r="L70" s="9" t="s">
        <v>76</v>
      </c>
      <c r="M70" s="9" t="s">
        <v>77</v>
      </c>
      <c r="N70" s="9" t="s">
        <v>78</v>
      </c>
      <c r="O70" s="9" t="s">
        <v>79</v>
      </c>
      <c r="P70" s="9" t="s">
        <v>80</v>
      </c>
      <c r="Q70" s="9" t="s">
        <v>14</v>
      </c>
      <c r="R70" s="9" t="s">
        <v>115</v>
      </c>
      <c r="S70" s="9" t="s">
        <v>83</v>
      </c>
      <c r="T70" s="9" t="s">
        <v>117</v>
      </c>
      <c r="U70" s="9" t="s">
        <v>146</v>
      </c>
      <c r="V70" s="24" t="str">
        <f t="shared" si="4"/>
        <v>Infrastructure</v>
      </c>
      <c r="W70" s="10" t="s">
        <v>6</v>
      </c>
      <c r="X70" s="10" t="s">
        <v>86</v>
      </c>
      <c r="Y70" s="10"/>
      <c r="Z70" s="10"/>
      <c r="AA70" s="10"/>
      <c r="AB70" s="22">
        <f>_xlfn.XLOOKUP(TIDP[[#This Row],[ACTIVITY ID]],Baseline[Activity Code],Baseline[Finish],"",0)</f>
        <v>46425</v>
      </c>
      <c r="AC70" s="10"/>
      <c r="AD70" s="10"/>
      <c r="AE70" s="10"/>
      <c r="AF70" s="10"/>
      <c r="AG70" s="10"/>
      <c r="AH70" s="11"/>
    </row>
    <row r="71" spans="1:34" x14ac:dyDescent="0.25">
      <c r="A71" s="63" t="str">
        <f t="shared" si="3"/>
        <v>QF01012-NES-C04518-SDW-CIV-05-Z00000-2FL0105</v>
      </c>
      <c r="B71" s="8" t="s">
        <v>194</v>
      </c>
      <c r="C71" s="8" t="s">
        <v>69</v>
      </c>
      <c r="D71" s="8" t="s">
        <v>70</v>
      </c>
      <c r="E71" s="8" t="s">
        <v>71</v>
      </c>
      <c r="F71" s="9" t="s">
        <v>72</v>
      </c>
      <c r="G71" s="9" t="s">
        <v>189</v>
      </c>
      <c r="H71" s="25">
        <v>46302</v>
      </c>
      <c r="I71" s="25" t="s">
        <v>186</v>
      </c>
      <c r="J71" s="9" t="s">
        <v>187</v>
      </c>
      <c r="K71" s="9"/>
      <c r="L71" s="9" t="s">
        <v>76</v>
      </c>
      <c r="M71" s="9" t="s">
        <v>77</v>
      </c>
      <c r="N71" s="9" t="s">
        <v>78</v>
      </c>
      <c r="O71" s="9" t="s">
        <v>79</v>
      </c>
      <c r="P71" s="9" t="s">
        <v>80</v>
      </c>
      <c r="Q71" s="9" t="s">
        <v>152</v>
      </c>
      <c r="R71" s="9" t="s">
        <v>115</v>
      </c>
      <c r="S71" s="9" t="s">
        <v>83</v>
      </c>
      <c r="T71" s="9" t="s">
        <v>84</v>
      </c>
      <c r="U71" s="9" t="s">
        <v>153</v>
      </c>
      <c r="V71" s="24" t="str">
        <f t="shared" si="4"/>
        <v>Infrastructure</v>
      </c>
      <c r="W71" s="10" t="s">
        <v>6</v>
      </c>
      <c r="X71" s="10" t="s">
        <v>86</v>
      </c>
      <c r="Y71" s="10"/>
      <c r="Z71" s="10"/>
      <c r="AA71" s="10"/>
      <c r="AB71" s="22">
        <f>_xlfn.XLOOKUP(TIDP[[#This Row],[ACTIVITY ID]],Baseline[Activity Code],Baseline[Finish],"",0)</f>
        <v>46425</v>
      </c>
      <c r="AC71" s="10"/>
      <c r="AD71" s="10"/>
      <c r="AE71" s="10"/>
      <c r="AF71" s="10"/>
      <c r="AG71" s="10"/>
      <c r="AH71" s="11"/>
    </row>
    <row r="72" spans="1:34" x14ac:dyDescent="0.25">
      <c r="A72" s="63" t="str">
        <f t="shared" si="3"/>
        <v>QF01012-NES-C04518-SDW-CIV-06-Z00000-2FL0106</v>
      </c>
      <c r="B72" s="8" t="s">
        <v>195</v>
      </c>
      <c r="C72" s="8" t="s">
        <v>69</v>
      </c>
      <c r="D72" s="8" t="s">
        <v>70</v>
      </c>
      <c r="E72" s="8" t="s">
        <v>71</v>
      </c>
      <c r="F72" s="9" t="s">
        <v>72</v>
      </c>
      <c r="G72" s="9" t="s">
        <v>189</v>
      </c>
      <c r="H72" s="25">
        <v>46302</v>
      </c>
      <c r="I72" s="25" t="s">
        <v>186</v>
      </c>
      <c r="J72" s="9" t="s">
        <v>187</v>
      </c>
      <c r="K72" s="9"/>
      <c r="L72" s="9" t="s">
        <v>76</v>
      </c>
      <c r="M72" s="9" t="s">
        <v>77</v>
      </c>
      <c r="N72" s="9" t="s">
        <v>78</v>
      </c>
      <c r="O72" s="9" t="s">
        <v>79</v>
      </c>
      <c r="P72" s="9" t="s">
        <v>80</v>
      </c>
      <c r="Q72" s="9" t="s">
        <v>155</v>
      </c>
      <c r="R72" s="9" t="s">
        <v>115</v>
      </c>
      <c r="S72" s="9" t="s">
        <v>83</v>
      </c>
      <c r="T72" s="9" t="s">
        <v>84</v>
      </c>
      <c r="U72" s="9" t="s">
        <v>156</v>
      </c>
      <c r="V72" s="24" t="str">
        <f t="shared" si="4"/>
        <v>Infrastructure</v>
      </c>
      <c r="W72" s="10" t="s">
        <v>6</v>
      </c>
      <c r="X72" s="10" t="s">
        <v>86</v>
      </c>
      <c r="Y72" s="10"/>
      <c r="Z72" s="10"/>
      <c r="AA72" s="10"/>
      <c r="AB72" s="22">
        <f>_xlfn.XLOOKUP(TIDP[[#This Row],[ACTIVITY ID]],Baseline[Activity Code],Baseline[Finish],"",0)</f>
        <v>46425</v>
      </c>
      <c r="AC72" s="10"/>
      <c r="AD72" s="10"/>
      <c r="AE72" s="10"/>
      <c r="AF72" s="10"/>
      <c r="AG72" s="10"/>
      <c r="AH72" s="11"/>
    </row>
    <row r="73" spans="1:34" x14ac:dyDescent="0.25">
      <c r="A73" s="63" t="str">
        <f t="shared" si="3"/>
        <v>QF01012-NES-C04518-SDW-CIV-00-Z00000-2ZZ0103</v>
      </c>
      <c r="B73" s="8" t="s">
        <v>196</v>
      </c>
      <c r="C73" s="8" t="s">
        <v>69</v>
      </c>
      <c r="D73" s="8" t="s">
        <v>70</v>
      </c>
      <c r="E73" s="8" t="s">
        <v>71</v>
      </c>
      <c r="F73" s="9" t="s">
        <v>72</v>
      </c>
      <c r="G73" s="9" t="s">
        <v>189</v>
      </c>
      <c r="H73" s="25">
        <v>46302</v>
      </c>
      <c r="I73" s="25" t="s">
        <v>186</v>
      </c>
      <c r="J73" s="9" t="s">
        <v>187</v>
      </c>
      <c r="K73" s="9"/>
      <c r="L73" s="9" t="s">
        <v>76</v>
      </c>
      <c r="M73" s="9" t="s">
        <v>77</v>
      </c>
      <c r="N73" s="9" t="s">
        <v>78</v>
      </c>
      <c r="O73" s="9" t="s">
        <v>79</v>
      </c>
      <c r="P73" s="9" t="s">
        <v>80</v>
      </c>
      <c r="Q73" s="9" t="s">
        <v>14</v>
      </c>
      <c r="R73" s="9" t="s">
        <v>115</v>
      </c>
      <c r="S73" s="9" t="s">
        <v>83</v>
      </c>
      <c r="T73" s="9" t="s">
        <v>117</v>
      </c>
      <c r="U73" s="9" t="s">
        <v>148</v>
      </c>
      <c r="V73" s="24" t="str">
        <f t="shared" si="4"/>
        <v>Infrastructure</v>
      </c>
      <c r="W73" s="10" t="s">
        <v>6</v>
      </c>
      <c r="X73" s="10" t="s">
        <v>86</v>
      </c>
      <c r="Y73" s="10"/>
      <c r="Z73" s="10"/>
      <c r="AA73" s="10"/>
      <c r="AB73" s="22">
        <f>_xlfn.XLOOKUP(TIDP[[#This Row],[ACTIVITY ID]],Baseline[Activity Code],Baseline[Finish],"",0)</f>
        <v>46425</v>
      </c>
      <c r="AC73" s="10"/>
      <c r="AD73" s="10"/>
      <c r="AE73" s="10"/>
      <c r="AF73" s="10"/>
      <c r="AG73" s="10"/>
      <c r="AH73" s="11"/>
    </row>
    <row r="74" spans="1:34" x14ac:dyDescent="0.25">
      <c r="A74" s="63" t="str">
        <f t="shared" si="3"/>
        <v>QF01012-NES-C04518-SDW-CIV-07-Z00000-2FL0107</v>
      </c>
      <c r="B74" s="8" t="s">
        <v>197</v>
      </c>
      <c r="C74" s="8" t="s">
        <v>69</v>
      </c>
      <c r="D74" s="8" t="s">
        <v>70</v>
      </c>
      <c r="E74" s="8" t="s">
        <v>71</v>
      </c>
      <c r="F74" s="9" t="s">
        <v>72</v>
      </c>
      <c r="G74" s="9" t="s">
        <v>189</v>
      </c>
      <c r="H74" s="25">
        <v>46302</v>
      </c>
      <c r="I74" s="25" t="s">
        <v>186</v>
      </c>
      <c r="J74" s="9" t="s">
        <v>187</v>
      </c>
      <c r="K74" s="9"/>
      <c r="L74" s="9" t="s">
        <v>76</v>
      </c>
      <c r="M74" s="9" t="s">
        <v>77</v>
      </c>
      <c r="N74" s="9" t="s">
        <v>78</v>
      </c>
      <c r="O74" s="9" t="s">
        <v>79</v>
      </c>
      <c r="P74" s="9" t="s">
        <v>80</v>
      </c>
      <c r="Q74" s="9" t="s">
        <v>167</v>
      </c>
      <c r="R74" s="9" t="s">
        <v>115</v>
      </c>
      <c r="S74" s="9" t="s">
        <v>83</v>
      </c>
      <c r="T74" s="9" t="s">
        <v>84</v>
      </c>
      <c r="U74" s="9" t="s">
        <v>198</v>
      </c>
      <c r="V74" s="24" t="str">
        <f t="shared" si="4"/>
        <v>Infrastructure</v>
      </c>
      <c r="W74" s="10" t="s">
        <v>6</v>
      </c>
      <c r="X74" s="10" t="s">
        <v>86</v>
      </c>
      <c r="Y74" s="10"/>
      <c r="Z74" s="10"/>
      <c r="AA74" s="10"/>
      <c r="AB74" s="22">
        <f>_xlfn.XLOOKUP(TIDP[[#This Row],[ACTIVITY ID]],Baseline[Activity Code],Baseline[Finish],"",0)</f>
        <v>46425</v>
      </c>
      <c r="AC74" s="10"/>
      <c r="AD74" s="10"/>
      <c r="AE74" s="10"/>
      <c r="AF74" s="10"/>
      <c r="AG74" s="10"/>
      <c r="AH74" s="11"/>
    </row>
    <row r="75" spans="1:34" x14ac:dyDescent="0.25">
      <c r="A75" s="63" t="str">
        <f t="shared" si="3"/>
        <v>QF01012-NES-C04518-SDW-CIV-08-Z00000-2FL0108</v>
      </c>
      <c r="B75" s="8" t="s">
        <v>199</v>
      </c>
      <c r="C75" s="8" t="s">
        <v>69</v>
      </c>
      <c r="D75" s="8" t="s">
        <v>70</v>
      </c>
      <c r="E75" s="8" t="s">
        <v>71</v>
      </c>
      <c r="F75" s="9" t="s">
        <v>72</v>
      </c>
      <c r="G75" s="9" t="s">
        <v>189</v>
      </c>
      <c r="H75" s="25">
        <v>46302</v>
      </c>
      <c r="I75" s="25" t="s">
        <v>186</v>
      </c>
      <c r="J75" s="9" t="s">
        <v>187</v>
      </c>
      <c r="K75" s="9"/>
      <c r="L75" s="9" t="s">
        <v>76</v>
      </c>
      <c r="M75" s="9" t="s">
        <v>77</v>
      </c>
      <c r="N75" s="9" t="s">
        <v>78</v>
      </c>
      <c r="O75" s="9" t="s">
        <v>79</v>
      </c>
      <c r="P75" s="9" t="s">
        <v>80</v>
      </c>
      <c r="Q75" s="9" t="s">
        <v>170</v>
      </c>
      <c r="R75" s="9" t="s">
        <v>115</v>
      </c>
      <c r="S75" s="9" t="s">
        <v>83</v>
      </c>
      <c r="T75" s="9" t="s">
        <v>84</v>
      </c>
      <c r="U75" s="9" t="s">
        <v>200</v>
      </c>
      <c r="V75" s="24" t="str">
        <f t="shared" si="4"/>
        <v>Infrastructure</v>
      </c>
      <c r="W75" s="10" t="s">
        <v>6</v>
      </c>
      <c r="X75" s="10" t="s">
        <v>86</v>
      </c>
      <c r="Y75" s="10"/>
      <c r="Z75" s="10"/>
      <c r="AA75" s="10"/>
      <c r="AB75" s="22">
        <f>_xlfn.XLOOKUP(TIDP[[#This Row],[ACTIVITY ID]],Baseline[Activity Code],Baseline[Finish],"",0)</f>
        <v>46425</v>
      </c>
      <c r="AC75" s="10"/>
      <c r="AD75" s="10"/>
      <c r="AE75" s="10"/>
      <c r="AF75" s="10"/>
      <c r="AG75" s="10"/>
      <c r="AH75" s="11"/>
    </row>
    <row r="76" spans="1:34" x14ac:dyDescent="0.25">
      <c r="A76" s="63" t="str">
        <f t="shared" si="3"/>
        <v>QF01012-NES-C04518-SDW-CIV-09-Z00000-2FL0109</v>
      </c>
      <c r="B76" s="8" t="s">
        <v>201</v>
      </c>
      <c r="C76" s="8" t="s">
        <v>69</v>
      </c>
      <c r="D76" s="8" t="s">
        <v>70</v>
      </c>
      <c r="E76" s="8" t="s">
        <v>71</v>
      </c>
      <c r="F76" s="9" t="s">
        <v>72</v>
      </c>
      <c r="G76" s="9" t="s">
        <v>189</v>
      </c>
      <c r="H76" s="25">
        <v>46302</v>
      </c>
      <c r="I76" s="25" t="s">
        <v>186</v>
      </c>
      <c r="J76" s="9" t="s">
        <v>187</v>
      </c>
      <c r="K76" s="9"/>
      <c r="L76" s="9" t="s">
        <v>76</v>
      </c>
      <c r="M76" s="9" t="s">
        <v>77</v>
      </c>
      <c r="N76" s="9" t="s">
        <v>78</v>
      </c>
      <c r="O76" s="9" t="s">
        <v>79</v>
      </c>
      <c r="P76" s="9" t="s">
        <v>80</v>
      </c>
      <c r="Q76" s="9" t="s">
        <v>173</v>
      </c>
      <c r="R76" s="9" t="s">
        <v>115</v>
      </c>
      <c r="S76" s="9" t="s">
        <v>83</v>
      </c>
      <c r="T76" s="9" t="s">
        <v>84</v>
      </c>
      <c r="U76" s="9" t="s">
        <v>202</v>
      </c>
      <c r="V76" s="24" t="str">
        <f t="shared" si="4"/>
        <v>Infrastructure</v>
      </c>
      <c r="W76" s="10" t="s">
        <v>6</v>
      </c>
      <c r="X76" s="10" t="s">
        <v>86</v>
      </c>
      <c r="Y76" s="10"/>
      <c r="Z76" s="10"/>
      <c r="AA76" s="10"/>
      <c r="AB76" s="22">
        <f>_xlfn.XLOOKUP(TIDP[[#This Row],[ACTIVITY ID]],Baseline[Activity Code],Baseline[Finish],"",0)</f>
        <v>46425</v>
      </c>
      <c r="AC76" s="10"/>
      <c r="AD76" s="10"/>
      <c r="AE76" s="10"/>
      <c r="AF76" s="10"/>
      <c r="AG76" s="10"/>
      <c r="AH76" s="11"/>
    </row>
    <row r="77" spans="1:34" x14ac:dyDescent="0.25">
      <c r="A77" s="63" t="str">
        <f t="shared" si="3"/>
        <v>QF01012-NES-C04518-SDW-CIV-10-Z00000-2FL0110</v>
      </c>
      <c r="B77" s="8" t="s">
        <v>203</v>
      </c>
      <c r="C77" s="8" t="s">
        <v>69</v>
      </c>
      <c r="D77" s="8" t="s">
        <v>70</v>
      </c>
      <c r="E77" s="8" t="s">
        <v>71</v>
      </c>
      <c r="F77" s="9" t="s">
        <v>72</v>
      </c>
      <c r="G77" s="9" t="s">
        <v>189</v>
      </c>
      <c r="H77" s="25">
        <v>46302</v>
      </c>
      <c r="I77" s="25" t="s">
        <v>186</v>
      </c>
      <c r="J77" s="9" t="s">
        <v>187</v>
      </c>
      <c r="K77" s="9"/>
      <c r="L77" s="9" t="s">
        <v>76</v>
      </c>
      <c r="M77" s="9" t="s">
        <v>77</v>
      </c>
      <c r="N77" s="9" t="s">
        <v>78</v>
      </c>
      <c r="O77" s="9" t="s">
        <v>79</v>
      </c>
      <c r="P77" s="9" t="s">
        <v>80</v>
      </c>
      <c r="Q77" s="9" t="s">
        <v>176</v>
      </c>
      <c r="R77" s="9" t="s">
        <v>115</v>
      </c>
      <c r="S77" s="9" t="s">
        <v>83</v>
      </c>
      <c r="T77" s="9" t="s">
        <v>84</v>
      </c>
      <c r="U77" s="9" t="s">
        <v>204</v>
      </c>
      <c r="V77" s="24" t="str">
        <f t="shared" si="4"/>
        <v>Infrastructure</v>
      </c>
      <c r="W77" s="10" t="s">
        <v>6</v>
      </c>
      <c r="X77" s="10" t="s">
        <v>86</v>
      </c>
      <c r="Y77" s="10"/>
      <c r="Z77" s="10"/>
      <c r="AA77" s="10"/>
      <c r="AB77" s="22">
        <f>_xlfn.XLOOKUP(TIDP[[#This Row],[ACTIVITY ID]],Baseline[Activity Code],Baseline[Finish],"",0)</f>
        <v>46425</v>
      </c>
      <c r="AC77" s="10"/>
      <c r="AD77" s="10"/>
      <c r="AE77" s="10"/>
      <c r="AF77" s="10"/>
      <c r="AG77" s="10"/>
      <c r="AH77" s="11"/>
    </row>
    <row r="78" spans="1:34" x14ac:dyDescent="0.25">
      <c r="A78" s="63" t="str">
        <f t="shared" si="3"/>
        <v>QF01012-NES-C04518-SDW-CIV-11-Z00000-2FL0111</v>
      </c>
      <c r="B78" s="8" t="s">
        <v>205</v>
      </c>
      <c r="C78" s="8" t="s">
        <v>69</v>
      </c>
      <c r="D78" s="8" t="s">
        <v>70</v>
      </c>
      <c r="E78" s="8" t="s">
        <v>71</v>
      </c>
      <c r="F78" s="9" t="s">
        <v>72</v>
      </c>
      <c r="G78" s="9" t="s">
        <v>189</v>
      </c>
      <c r="H78" s="25">
        <v>46302</v>
      </c>
      <c r="I78" s="25" t="s">
        <v>186</v>
      </c>
      <c r="J78" s="9" t="s">
        <v>187</v>
      </c>
      <c r="K78" s="9"/>
      <c r="L78" s="9" t="s">
        <v>76</v>
      </c>
      <c r="M78" s="9" t="s">
        <v>77</v>
      </c>
      <c r="N78" s="9" t="s">
        <v>78</v>
      </c>
      <c r="O78" s="9" t="s">
        <v>79</v>
      </c>
      <c r="P78" s="9" t="s">
        <v>80</v>
      </c>
      <c r="Q78" s="9" t="s">
        <v>179</v>
      </c>
      <c r="R78" s="9" t="s">
        <v>115</v>
      </c>
      <c r="S78" s="9" t="s">
        <v>83</v>
      </c>
      <c r="T78" s="9" t="s">
        <v>84</v>
      </c>
      <c r="U78" s="9" t="s">
        <v>206</v>
      </c>
      <c r="V78" s="24" t="str">
        <f t="shared" si="4"/>
        <v>Infrastructure</v>
      </c>
      <c r="W78" s="10" t="s">
        <v>6</v>
      </c>
      <c r="X78" s="10" t="s">
        <v>86</v>
      </c>
      <c r="Y78" s="10"/>
      <c r="Z78" s="10"/>
      <c r="AA78" s="10"/>
      <c r="AB78" s="22">
        <f>_xlfn.XLOOKUP(TIDP[[#This Row],[ACTIVITY ID]],Baseline[Activity Code],Baseline[Finish],"",0)</f>
        <v>46425</v>
      </c>
      <c r="AC78" s="10"/>
      <c r="AD78" s="10"/>
      <c r="AE78" s="10"/>
      <c r="AF78" s="10"/>
      <c r="AG78" s="10"/>
      <c r="AH78" s="11"/>
    </row>
    <row r="79" spans="1:34" x14ac:dyDescent="0.25">
      <c r="A79" s="63" t="str">
        <f t="shared" si="3"/>
        <v>QF01012-NES-C04518-SDW-CIV-12-Z00000-2FL0112</v>
      </c>
      <c r="B79" s="8" t="s">
        <v>207</v>
      </c>
      <c r="C79" s="8" t="s">
        <v>69</v>
      </c>
      <c r="D79" s="8" t="s">
        <v>70</v>
      </c>
      <c r="E79" s="8" t="s">
        <v>71</v>
      </c>
      <c r="F79" s="9" t="s">
        <v>72</v>
      </c>
      <c r="G79" s="9" t="s">
        <v>189</v>
      </c>
      <c r="H79" s="25">
        <v>46302</v>
      </c>
      <c r="I79" s="25" t="s">
        <v>186</v>
      </c>
      <c r="J79" s="9" t="s">
        <v>187</v>
      </c>
      <c r="K79" s="9"/>
      <c r="L79" s="9" t="s">
        <v>76</v>
      </c>
      <c r="M79" s="9" t="s">
        <v>77</v>
      </c>
      <c r="N79" s="9" t="s">
        <v>78</v>
      </c>
      <c r="O79" s="9" t="s">
        <v>79</v>
      </c>
      <c r="P79" s="9" t="s">
        <v>80</v>
      </c>
      <c r="Q79" s="9" t="s">
        <v>182</v>
      </c>
      <c r="R79" s="9" t="s">
        <v>115</v>
      </c>
      <c r="S79" s="9" t="s">
        <v>83</v>
      </c>
      <c r="T79" s="9" t="s">
        <v>84</v>
      </c>
      <c r="U79" s="9" t="s">
        <v>208</v>
      </c>
      <c r="V79" s="24" t="str">
        <f t="shared" si="4"/>
        <v>Infrastructure</v>
      </c>
      <c r="W79" s="10" t="s">
        <v>6</v>
      </c>
      <c r="X79" s="10" t="s">
        <v>86</v>
      </c>
      <c r="Y79" s="10"/>
      <c r="Z79" s="10"/>
      <c r="AA79" s="10"/>
      <c r="AB79" s="22">
        <f>_xlfn.XLOOKUP(TIDP[[#This Row],[ACTIVITY ID]],Baseline[Activity Code],Baseline[Finish],"",0)</f>
        <v>46425</v>
      </c>
      <c r="AC79" s="10"/>
      <c r="AD79" s="10"/>
      <c r="AE79" s="10"/>
      <c r="AF79" s="10"/>
      <c r="AG79" s="10"/>
      <c r="AH79" s="11"/>
    </row>
    <row r="80" spans="1:34" x14ac:dyDescent="0.25">
      <c r="A80" s="63" t="str">
        <f t="shared" si="3"/>
        <v>QF01012-NES-C04518-SDW-CIV-13-Z00000-2FL0113</v>
      </c>
      <c r="B80" s="8" t="s">
        <v>209</v>
      </c>
      <c r="C80" s="8" t="s">
        <v>69</v>
      </c>
      <c r="D80" s="8" t="s">
        <v>70</v>
      </c>
      <c r="E80" s="8" t="s">
        <v>71</v>
      </c>
      <c r="F80" s="9" t="s">
        <v>72</v>
      </c>
      <c r="G80" s="9" t="s">
        <v>189</v>
      </c>
      <c r="H80" s="25">
        <v>46302</v>
      </c>
      <c r="I80" s="25" t="s">
        <v>186</v>
      </c>
      <c r="J80" s="9" t="s">
        <v>187</v>
      </c>
      <c r="K80" s="9"/>
      <c r="L80" s="9" t="s">
        <v>76</v>
      </c>
      <c r="M80" s="9" t="s">
        <v>77</v>
      </c>
      <c r="N80" s="9" t="s">
        <v>78</v>
      </c>
      <c r="O80" s="9" t="s">
        <v>79</v>
      </c>
      <c r="P80" s="9" t="s">
        <v>80</v>
      </c>
      <c r="Q80" s="9" t="s">
        <v>210</v>
      </c>
      <c r="R80" s="9" t="s">
        <v>115</v>
      </c>
      <c r="S80" s="9" t="s">
        <v>83</v>
      </c>
      <c r="T80" s="9" t="s">
        <v>84</v>
      </c>
      <c r="U80" s="9" t="s">
        <v>211</v>
      </c>
      <c r="V80" s="24" t="str">
        <f t="shared" si="4"/>
        <v>Infrastructure</v>
      </c>
      <c r="W80" s="10" t="s">
        <v>6</v>
      </c>
      <c r="X80" s="10" t="s">
        <v>86</v>
      </c>
      <c r="Y80" s="10"/>
      <c r="Z80" s="10"/>
      <c r="AA80" s="10"/>
      <c r="AB80" s="22">
        <f>_xlfn.XLOOKUP(TIDP[[#This Row],[ACTIVITY ID]],Baseline[Activity Code],Baseline[Finish],"",0)</f>
        <v>46425</v>
      </c>
      <c r="AC80" s="10"/>
      <c r="AD80" s="10"/>
      <c r="AE80" s="10"/>
      <c r="AF80" s="10"/>
      <c r="AG80" s="10"/>
      <c r="AH80" s="11"/>
    </row>
    <row r="81" spans="1:34" x14ac:dyDescent="0.25">
      <c r="A81" s="63" t="str">
        <f t="shared" ref="A81:A112" si="5">CONCATENATE(TRIM(L81),"-",TRIM(M81),"-",TRIM(N81),"-",TRIM(O81),"-",TRIM(P81),"-",TRIM(Q81),"-",TRIM(R81),"-",TRIM(S81),TRIM(T81),TRIM(U81))</f>
        <v>QF01012-NES-C04518-SDW-CIV-00-Z00000-2ZZ0104</v>
      </c>
      <c r="B81" s="8" t="s">
        <v>212</v>
      </c>
      <c r="C81" s="8" t="s">
        <v>69</v>
      </c>
      <c r="D81" s="8" t="s">
        <v>70</v>
      </c>
      <c r="E81" s="8" t="s">
        <v>71</v>
      </c>
      <c r="F81" s="9" t="s">
        <v>72</v>
      </c>
      <c r="G81" s="9" t="s">
        <v>189</v>
      </c>
      <c r="H81" s="25">
        <v>46302</v>
      </c>
      <c r="I81" s="25" t="s">
        <v>186</v>
      </c>
      <c r="J81" s="9" t="s">
        <v>187</v>
      </c>
      <c r="K81" s="9"/>
      <c r="L81" s="9" t="s">
        <v>76</v>
      </c>
      <c r="M81" s="9" t="s">
        <v>77</v>
      </c>
      <c r="N81" s="9" t="s">
        <v>78</v>
      </c>
      <c r="O81" s="9" t="s">
        <v>79</v>
      </c>
      <c r="P81" s="9" t="s">
        <v>80</v>
      </c>
      <c r="Q81" s="9" t="s">
        <v>14</v>
      </c>
      <c r="R81" s="9" t="s">
        <v>115</v>
      </c>
      <c r="S81" s="9" t="s">
        <v>83</v>
      </c>
      <c r="T81" s="9" t="s">
        <v>117</v>
      </c>
      <c r="U81" s="9" t="s">
        <v>150</v>
      </c>
      <c r="V81" s="24" t="str">
        <f t="shared" si="4"/>
        <v>Infrastructure</v>
      </c>
      <c r="W81" s="10" t="s">
        <v>6</v>
      </c>
      <c r="X81" s="10" t="s">
        <v>86</v>
      </c>
      <c r="Y81" s="10"/>
      <c r="Z81" s="10"/>
      <c r="AA81" s="10"/>
      <c r="AB81" s="22">
        <f>_xlfn.XLOOKUP(TIDP[[#This Row],[ACTIVITY ID]],Baseline[Activity Code],Baseline[Finish],"",0)</f>
        <v>46425</v>
      </c>
      <c r="AC81" s="10"/>
      <c r="AD81" s="10"/>
      <c r="AE81" s="10"/>
      <c r="AF81" s="10"/>
      <c r="AG81" s="10"/>
      <c r="AH81" s="11"/>
    </row>
    <row r="82" spans="1:34" x14ac:dyDescent="0.25">
      <c r="A82" s="63" t="str">
        <f t="shared" si="5"/>
        <v>QF01012-NES-C04518-SDW-CIV-14-Z00000-2FL0114</v>
      </c>
      <c r="B82" s="8" t="s">
        <v>213</v>
      </c>
      <c r="C82" s="8" t="s">
        <v>69</v>
      </c>
      <c r="D82" s="8" t="s">
        <v>70</v>
      </c>
      <c r="E82" s="8" t="s">
        <v>71</v>
      </c>
      <c r="F82" s="9" t="s">
        <v>72</v>
      </c>
      <c r="G82" s="9" t="s">
        <v>189</v>
      </c>
      <c r="H82" s="25">
        <v>46302</v>
      </c>
      <c r="I82" s="25" t="s">
        <v>186</v>
      </c>
      <c r="J82" s="9" t="s">
        <v>187</v>
      </c>
      <c r="K82" s="9"/>
      <c r="L82" s="9" t="s">
        <v>76</v>
      </c>
      <c r="M82" s="9" t="s">
        <v>77</v>
      </c>
      <c r="N82" s="9" t="s">
        <v>78</v>
      </c>
      <c r="O82" s="9" t="s">
        <v>79</v>
      </c>
      <c r="P82" s="9" t="s">
        <v>80</v>
      </c>
      <c r="Q82" s="9" t="s">
        <v>214</v>
      </c>
      <c r="R82" s="9" t="s">
        <v>115</v>
      </c>
      <c r="S82" s="9" t="s">
        <v>83</v>
      </c>
      <c r="T82" s="9" t="s">
        <v>84</v>
      </c>
      <c r="U82" s="9" t="s">
        <v>215</v>
      </c>
      <c r="V82" s="24" t="str">
        <f t="shared" si="4"/>
        <v>Infrastructure</v>
      </c>
      <c r="W82" s="10" t="s">
        <v>6</v>
      </c>
      <c r="X82" s="10" t="s">
        <v>86</v>
      </c>
      <c r="Y82" s="10"/>
      <c r="Z82" s="10"/>
      <c r="AA82" s="10"/>
      <c r="AB82" s="22">
        <f>_xlfn.XLOOKUP(TIDP[[#This Row],[ACTIVITY ID]],Baseline[Activity Code],Baseline[Finish],"",0)</f>
        <v>46425</v>
      </c>
      <c r="AC82" s="10"/>
      <c r="AD82" s="10"/>
      <c r="AE82" s="10"/>
      <c r="AF82" s="10"/>
      <c r="AG82" s="10"/>
      <c r="AH82" s="11"/>
    </row>
    <row r="83" spans="1:34" x14ac:dyDescent="0.25">
      <c r="A83" s="63" t="str">
        <f t="shared" si="5"/>
        <v>QF01012-NES-C04518-SDW-CIV-15-Z00000-2FL0115</v>
      </c>
      <c r="B83" s="8" t="s">
        <v>216</v>
      </c>
      <c r="C83" s="8" t="s">
        <v>69</v>
      </c>
      <c r="D83" s="8" t="s">
        <v>70</v>
      </c>
      <c r="E83" s="8" t="s">
        <v>71</v>
      </c>
      <c r="F83" s="9" t="s">
        <v>72</v>
      </c>
      <c r="G83" s="9" t="s">
        <v>189</v>
      </c>
      <c r="H83" s="25">
        <v>46302</v>
      </c>
      <c r="I83" s="25" t="s">
        <v>186</v>
      </c>
      <c r="J83" s="9" t="s">
        <v>187</v>
      </c>
      <c r="K83" s="9"/>
      <c r="L83" s="9" t="s">
        <v>76</v>
      </c>
      <c r="M83" s="9" t="s">
        <v>77</v>
      </c>
      <c r="N83" s="9" t="s">
        <v>78</v>
      </c>
      <c r="O83" s="9" t="s">
        <v>79</v>
      </c>
      <c r="P83" s="9" t="s">
        <v>80</v>
      </c>
      <c r="Q83" s="9" t="s">
        <v>217</v>
      </c>
      <c r="R83" s="9" t="s">
        <v>115</v>
      </c>
      <c r="S83" s="9" t="s">
        <v>83</v>
      </c>
      <c r="T83" s="9" t="s">
        <v>84</v>
      </c>
      <c r="U83" s="9" t="s">
        <v>218</v>
      </c>
      <c r="V83" s="24" t="str">
        <f t="shared" si="4"/>
        <v>Infrastructure</v>
      </c>
      <c r="W83" s="10" t="s">
        <v>6</v>
      </c>
      <c r="X83" s="10" t="s">
        <v>86</v>
      </c>
      <c r="Y83" s="10"/>
      <c r="Z83" s="10"/>
      <c r="AA83" s="10"/>
      <c r="AB83" s="22">
        <f>_xlfn.XLOOKUP(TIDP[[#This Row],[ACTIVITY ID]],Baseline[Activity Code],Baseline[Finish],"",0)</f>
        <v>46425</v>
      </c>
      <c r="AC83" s="10"/>
      <c r="AD83" s="10"/>
      <c r="AE83" s="10"/>
      <c r="AF83" s="10"/>
      <c r="AG83" s="10"/>
      <c r="AH83" s="11"/>
    </row>
    <row r="84" spans="1:34" x14ac:dyDescent="0.25">
      <c r="A84" s="63" t="str">
        <f t="shared" si="5"/>
        <v>QF01012-NES-C04518-SDW-CIV-16-Z00000-2FL0116</v>
      </c>
      <c r="B84" s="8" t="s">
        <v>219</v>
      </c>
      <c r="C84" s="8" t="s">
        <v>69</v>
      </c>
      <c r="D84" s="8" t="s">
        <v>70</v>
      </c>
      <c r="E84" s="8" t="s">
        <v>71</v>
      </c>
      <c r="F84" s="9" t="s">
        <v>72</v>
      </c>
      <c r="G84" s="9" t="s">
        <v>189</v>
      </c>
      <c r="H84" s="25">
        <v>46302</v>
      </c>
      <c r="I84" s="25" t="s">
        <v>186</v>
      </c>
      <c r="J84" s="9" t="s">
        <v>187</v>
      </c>
      <c r="K84" s="9"/>
      <c r="L84" s="9" t="s">
        <v>76</v>
      </c>
      <c r="M84" s="9" t="s">
        <v>77</v>
      </c>
      <c r="N84" s="9" t="s">
        <v>78</v>
      </c>
      <c r="O84" s="9" t="s">
        <v>79</v>
      </c>
      <c r="P84" s="9" t="s">
        <v>80</v>
      </c>
      <c r="Q84" s="9" t="s">
        <v>220</v>
      </c>
      <c r="R84" s="9" t="s">
        <v>115</v>
      </c>
      <c r="S84" s="9" t="s">
        <v>83</v>
      </c>
      <c r="T84" s="9" t="s">
        <v>84</v>
      </c>
      <c r="U84" s="9" t="s">
        <v>221</v>
      </c>
      <c r="V84" s="24" t="str">
        <f t="shared" si="4"/>
        <v>Infrastructure</v>
      </c>
      <c r="W84" s="10" t="s">
        <v>6</v>
      </c>
      <c r="X84" s="10" t="s">
        <v>86</v>
      </c>
      <c r="Y84" s="10"/>
      <c r="Z84" s="10"/>
      <c r="AA84" s="10"/>
      <c r="AB84" s="22">
        <f>_xlfn.XLOOKUP(TIDP[[#This Row],[ACTIVITY ID]],Baseline[Activity Code],Baseline[Finish],"",0)</f>
        <v>46425</v>
      </c>
      <c r="AC84" s="10"/>
      <c r="AD84" s="10"/>
      <c r="AE84" s="10"/>
      <c r="AF84" s="10"/>
      <c r="AG84" s="10"/>
      <c r="AH84" s="11"/>
    </row>
    <row r="85" spans="1:34" x14ac:dyDescent="0.25">
      <c r="A85" s="63" t="str">
        <f t="shared" si="5"/>
        <v>QF01012-NES-C04518-SDW-CIV-17-Z00000-2FL0117</v>
      </c>
      <c r="B85" s="8" t="s">
        <v>222</v>
      </c>
      <c r="C85" s="8" t="s">
        <v>69</v>
      </c>
      <c r="D85" s="8" t="s">
        <v>70</v>
      </c>
      <c r="E85" s="8" t="s">
        <v>71</v>
      </c>
      <c r="F85" s="9" t="s">
        <v>72</v>
      </c>
      <c r="G85" s="9" t="s">
        <v>189</v>
      </c>
      <c r="H85" s="25">
        <v>46302</v>
      </c>
      <c r="I85" s="25" t="s">
        <v>186</v>
      </c>
      <c r="J85" s="9" t="s">
        <v>187</v>
      </c>
      <c r="K85" s="9"/>
      <c r="L85" s="9" t="s">
        <v>76</v>
      </c>
      <c r="M85" s="9" t="s">
        <v>77</v>
      </c>
      <c r="N85" s="9" t="s">
        <v>78</v>
      </c>
      <c r="O85" s="9" t="s">
        <v>79</v>
      </c>
      <c r="P85" s="9" t="s">
        <v>80</v>
      </c>
      <c r="Q85" s="9" t="s">
        <v>223</v>
      </c>
      <c r="R85" s="9" t="s">
        <v>115</v>
      </c>
      <c r="S85" s="9" t="s">
        <v>83</v>
      </c>
      <c r="T85" s="9" t="s">
        <v>84</v>
      </c>
      <c r="U85" s="9" t="s">
        <v>224</v>
      </c>
      <c r="V85" s="24" t="str">
        <f t="shared" si="4"/>
        <v>Infrastructure</v>
      </c>
      <c r="W85" s="10" t="s">
        <v>6</v>
      </c>
      <c r="X85" s="10" t="s">
        <v>86</v>
      </c>
      <c r="Y85" s="10"/>
      <c r="Z85" s="10"/>
      <c r="AA85" s="10"/>
      <c r="AB85" s="22">
        <f>_xlfn.XLOOKUP(TIDP[[#This Row],[ACTIVITY ID]],Baseline[Activity Code],Baseline[Finish],"",0)</f>
        <v>46425</v>
      </c>
      <c r="AC85" s="10"/>
      <c r="AD85" s="10"/>
      <c r="AE85" s="10"/>
      <c r="AF85" s="10"/>
      <c r="AG85" s="10"/>
      <c r="AH85" s="11"/>
    </row>
    <row r="86" spans="1:34" x14ac:dyDescent="0.25">
      <c r="A86" s="63" t="str">
        <f t="shared" si="5"/>
        <v>QF01012-NES-C04518-SDW-CIV-18-Z00000-2FL0118</v>
      </c>
      <c r="B86" s="8" t="s">
        <v>225</v>
      </c>
      <c r="C86" s="8" t="s">
        <v>69</v>
      </c>
      <c r="D86" s="8" t="s">
        <v>70</v>
      </c>
      <c r="E86" s="8" t="s">
        <v>71</v>
      </c>
      <c r="F86" s="9" t="s">
        <v>72</v>
      </c>
      <c r="G86" s="9" t="s">
        <v>189</v>
      </c>
      <c r="H86" s="25">
        <v>46302</v>
      </c>
      <c r="I86" s="25" t="s">
        <v>186</v>
      </c>
      <c r="J86" s="9" t="s">
        <v>187</v>
      </c>
      <c r="K86" s="9"/>
      <c r="L86" s="9" t="s">
        <v>76</v>
      </c>
      <c r="M86" s="9" t="s">
        <v>77</v>
      </c>
      <c r="N86" s="9" t="s">
        <v>78</v>
      </c>
      <c r="O86" s="9" t="s">
        <v>79</v>
      </c>
      <c r="P86" s="9" t="s">
        <v>80</v>
      </c>
      <c r="Q86" s="9" t="s">
        <v>226</v>
      </c>
      <c r="R86" s="9" t="s">
        <v>115</v>
      </c>
      <c r="S86" s="9" t="s">
        <v>83</v>
      </c>
      <c r="T86" s="9" t="s">
        <v>84</v>
      </c>
      <c r="U86" s="9" t="s">
        <v>227</v>
      </c>
      <c r="V86" s="24" t="str">
        <f t="shared" si="4"/>
        <v>Infrastructure</v>
      </c>
      <c r="W86" s="10" t="s">
        <v>6</v>
      </c>
      <c r="X86" s="10" t="s">
        <v>86</v>
      </c>
      <c r="Y86" s="10"/>
      <c r="Z86" s="10"/>
      <c r="AA86" s="10"/>
      <c r="AB86" s="22">
        <f>_xlfn.XLOOKUP(TIDP[[#This Row],[ACTIVITY ID]],Baseline[Activity Code],Baseline[Finish],"",0)</f>
        <v>46425</v>
      </c>
      <c r="AC86" s="10"/>
      <c r="AD86" s="10"/>
      <c r="AE86" s="10"/>
      <c r="AF86" s="10"/>
      <c r="AG86" s="10"/>
      <c r="AH86" s="11"/>
    </row>
    <row r="87" spans="1:34" x14ac:dyDescent="0.25">
      <c r="A87" s="63" t="str">
        <f t="shared" si="5"/>
        <v>QF01012-NES-C04518-SDW-CIV-19-Z00000-2FL0119</v>
      </c>
      <c r="B87" s="8" t="s">
        <v>228</v>
      </c>
      <c r="C87" s="8" t="s">
        <v>69</v>
      </c>
      <c r="D87" s="8" t="s">
        <v>70</v>
      </c>
      <c r="E87" s="8" t="s">
        <v>71</v>
      </c>
      <c r="F87" s="9" t="s">
        <v>72</v>
      </c>
      <c r="G87" s="9" t="s">
        <v>189</v>
      </c>
      <c r="H87" s="25">
        <v>46302</v>
      </c>
      <c r="I87" s="25" t="s">
        <v>186</v>
      </c>
      <c r="J87" s="9" t="s">
        <v>187</v>
      </c>
      <c r="K87" s="9"/>
      <c r="L87" s="9" t="s">
        <v>76</v>
      </c>
      <c r="M87" s="9" t="s">
        <v>77</v>
      </c>
      <c r="N87" s="9" t="s">
        <v>78</v>
      </c>
      <c r="O87" s="9" t="s">
        <v>79</v>
      </c>
      <c r="P87" s="9" t="s">
        <v>80</v>
      </c>
      <c r="Q87" s="9" t="s">
        <v>229</v>
      </c>
      <c r="R87" s="9" t="s">
        <v>115</v>
      </c>
      <c r="S87" s="9" t="s">
        <v>83</v>
      </c>
      <c r="T87" s="9" t="s">
        <v>84</v>
      </c>
      <c r="U87" s="9" t="s">
        <v>230</v>
      </c>
      <c r="V87" s="24" t="str">
        <f t="shared" si="4"/>
        <v>Infrastructure</v>
      </c>
      <c r="W87" s="10" t="s">
        <v>6</v>
      </c>
      <c r="X87" s="10" t="s">
        <v>86</v>
      </c>
      <c r="Y87" s="10"/>
      <c r="Z87" s="10"/>
      <c r="AA87" s="10"/>
      <c r="AB87" s="22">
        <f>_xlfn.XLOOKUP(TIDP[[#This Row],[ACTIVITY ID]],Baseline[Activity Code],Baseline[Finish],"",0)</f>
        <v>46425</v>
      </c>
      <c r="AC87" s="10"/>
      <c r="AD87" s="10"/>
      <c r="AE87" s="10"/>
      <c r="AF87" s="10"/>
      <c r="AG87" s="10"/>
      <c r="AH87" s="11"/>
    </row>
    <row r="88" spans="1:34" x14ac:dyDescent="0.25">
      <c r="A88" s="63" t="str">
        <f t="shared" si="5"/>
        <v>QF01012-NES-C04518-SDW-CIV-01-Z00000-3FL0501</v>
      </c>
      <c r="B88" s="8" t="s">
        <v>231</v>
      </c>
      <c r="C88" s="8" t="s">
        <v>69</v>
      </c>
      <c r="D88" s="8" t="s">
        <v>70</v>
      </c>
      <c r="E88" s="8" t="s">
        <v>71</v>
      </c>
      <c r="F88" s="9" t="s">
        <v>72</v>
      </c>
      <c r="G88" s="9" t="s">
        <v>189</v>
      </c>
      <c r="H88" s="25">
        <v>46302</v>
      </c>
      <c r="I88" s="25" t="s">
        <v>186</v>
      </c>
      <c r="J88" s="9" t="s">
        <v>187</v>
      </c>
      <c r="K88" s="9"/>
      <c r="L88" s="9" t="s">
        <v>76</v>
      </c>
      <c r="M88" s="9" t="s">
        <v>77</v>
      </c>
      <c r="N88" s="9" t="s">
        <v>78</v>
      </c>
      <c r="O88" s="9" t="s">
        <v>79</v>
      </c>
      <c r="P88" s="9" t="s">
        <v>80</v>
      </c>
      <c r="Q88" s="9" t="s">
        <v>81</v>
      </c>
      <c r="R88" s="9" t="s">
        <v>115</v>
      </c>
      <c r="S88" s="9" t="s">
        <v>88</v>
      </c>
      <c r="T88" s="9" t="s">
        <v>84</v>
      </c>
      <c r="U88" s="9" t="s">
        <v>89</v>
      </c>
      <c r="V88" s="24" t="str">
        <f t="shared" si="4"/>
        <v>Infrastructure</v>
      </c>
      <c r="W88" s="10" t="s">
        <v>6</v>
      </c>
      <c r="X88" s="10" t="s">
        <v>86</v>
      </c>
      <c r="Y88" s="10"/>
      <c r="Z88" s="10"/>
      <c r="AA88" s="10"/>
      <c r="AB88" s="22">
        <f>_xlfn.XLOOKUP(TIDP[[#This Row],[ACTIVITY ID]],Baseline[Activity Code],Baseline[Finish],"",0)</f>
        <v>46425</v>
      </c>
      <c r="AC88" s="10"/>
      <c r="AD88" s="10"/>
      <c r="AE88" s="10"/>
      <c r="AF88" s="10"/>
      <c r="AG88" s="10"/>
      <c r="AH88" s="11"/>
    </row>
    <row r="89" spans="1:34" x14ac:dyDescent="0.25">
      <c r="A89" s="63" t="str">
        <f t="shared" si="5"/>
        <v>QF01012-NES-C04518-SDW-CIV-02-Z00000-3FL0502</v>
      </c>
      <c r="B89" s="8" t="s">
        <v>232</v>
      </c>
      <c r="C89" s="8" t="s">
        <v>69</v>
      </c>
      <c r="D89" s="8" t="s">
        <v>70</v>
      </c>
      <c r="E89" s="8" t="s">
        <v>71</v>
      </c>
      <c r="F89" s="9" t="s">
        <v>72</v>
      </c>
      <c r="G89" s="9" t="s">
        <v>189</v>
      </c>
      <c r="H89" s="25">
        <v>46302</v>
      </c>
      <c r="I89" s="25" t="s">
        <v>186</v>
      </c>
      <c r="J89" s="9" t="s">
        <v>187</v>
      </c>
      <c r="K89" s="9"/>
      <c r="L89" s="9" t="s">
        <v>76</v>
      </c>
      <c r="M89" s="9" t="s">
        <v>77</v>
      </c>
      <c r="N89" s="9" t="s">
        <v>78</v>
      </c>
      <c r="O89" s="9" t="s">
        <v>79</v>
      </c>
      <c r="P89" s="9" t="s">
        <v>80</v>
      </c>
      <c r="Q89" s="9" t="s">
        <v>91</v>
      </c>
      <c r="R89" s="9" t="s">
        <v>115</v>
      </c>
      <c r="S89" s="9" t="s">
        <v>88</v>
      </c>
      <c r="T89" s="9" t="s">
        <v>84</v>
      </c>
      <c r="U89" s="9" t="s">
        <v>92</v>
      </c>
      <c r="V89" s="24" t="str">
        <f t="shared" si="4"/>
        <v>Infrastructure</v>
      </c>
      <c r="W89" s="10" t="s">
        <v>6</v>
      </c>
      <c r="X89" s="10" t="s">
        <v>86</v>
      </c>
      <c r="Y89" s="10"/>
      <c r="Z89" s="10"/>
      <c r="AA89" s="10"/>
      <c r="AB89" s="22">
        <f>_xlfn.XLOOKUP(TIDP[[#This Row],[ACTIVITY ID]],Baseline[Activity Code],Baseline[Finish],"",0)</f>
        <v>46425</v>
      </c>
      <c r="AC89" s="10"/>
      <c r="AD89" s="10"/>
      <c r="AE89" s="10"/>
      <c r="AF89" s="10"/>
      <c r="AG89" s="10"/>
      <c r="AH89" s="11"/>
    </row>
    <row r="90" spans="1:34" x14ac:dyDescent="0.25">
      <c r="A90" s="63" t="str">
        <f t="shared" si="5"/>
        <v>QF01012-NES-C04518-SDW-CIV-03-Z00000-3FL0503</v>
      </c>
      <c r="B90" s="8" t="s">
        <v>233</v>
      </c>
      <c r="C90" s="8" t="s">
        <v>69</v>
      </c>
      <c r="D90" s="8" t="s">
        <v>70</v>
      </c>
      <c r="E90" s="8" t="s">
        <v>71</v>
      </c>
      <c r="F90" s="9" t="s">
        <v>72</v>
      </c>
      <c r="G90" s="9" t="s">
        <v>189</v>
      </c>
      <c r="H90" s="25">
        <v>46302</v>
      </c>
      <c r="I90" s="25" t="s">
        <v>186</v>
      </c>
      <c r="J90" s="9" t="s">
        <v>187</v>
      </c>
      <c r="K90" s="9"/>
      <c r="L90" s="9" t="s">
        <v>76</v>
      </c>
      <c r="M90" s="9" t="s">
        <v>77</v>
      </c>
      <c r="N90" s="9" t="s">
        <v>78</v>
      </c>
      <c r="O90" s="9" t="s">
        <v>79</v>
      </c>
      <c r="P90" s="9" t="s">
        <v>80</v>
      </c>
      <c r="Q90" s="9" t="s">
        <v>94</v>
      </c>
      <c r="R90" s="9" t="s">
        <v>115</v>
      </c>
      <c r="S90" s="9" t="s">
        <v>88</v>
      </c>
      <c r="T90" s="9" t="s">
        <v>84</v>
      </c>
      <c r="U90" s="9" t="s">
        <v>95</v>
      </c>
      <c r="V90" s="24" t="str">
        <f t="shared" si="4"/>
        <v>Infrastructure</v>
      </c>
      <c r="W90" s="10" t="s">
        <v>6</v>
      </c>
      <c r="X90" s="10" t="s">
        <v>86</v>
      </c>
      <c r="Y90" s="10"/>
      <c r="Z90" s="10"/>
      <c r="AA90" s="10"/>
      <c r="AB90" s="22">
        <f>_xlfn.XLOOKUP(TIDP[[#This Row],[ACTIVITY ID]],Baseline[Activity Code],Baseline[Finish],"",0)</f>
        <v>46425</v>
      </c>
      <c r="AC90" s="10"/>
      <c r="AD90" s="10"/>
      <c r="AE90" s="10"/>
      <c r="AF90" s="10"/>
      <c r="AG90" s="10"/>
      <c r="AH90" s="11"/>
    </row>
    <row r="91" spans="1:34" x14ac:dyDescent="0.25">
      <c r="A91" s="63" t="str">
        <f t="shared" si="5"/>
        <v>QF01012-NES-C04518-SDW-CIV-04-Z00000-3FL0504</v>
      </c>
      <c r="B91" s="8" t="s">
        <v>234</v>
      </c>
      <c r="C91" s="8" t="s">
        <v>69</v>
      </c>
      <c r="D91" s="8" t="s">
        <v>70</v>
      </c>
      <c r="E91" s="8" t="s">
        <v>71</v>
      </c>
      <c r="F91" s="9" t="s">
        <v>72</v>
      </c>
      <c r="G91" s="9" t="s">
        <v>189</v>
      </c>
      <c r="H91" s="25">
        <v>46302</v>
      </c>
      <c r="I91" s="25" t="s">
        <v>186</v>
      </c>
      <c r="J91" s="9" t="s">
        <v>187</v>
      </c>
      <c r="K91" s="9"/>
      <c r="L91" s="9" t="s">
        <v>76</v>
      </c>
      <c r="M91" s="9" t="s">
        <v>77</v>
      </c>
      <c r="N91" s="9" t="s">
        <v>78</v>
      </c>
      <c r="O91" s="9" t="s">
        <v>79</v>
      </c>
      <c r="P91" s="9" t="s">
        <v>80</v>
      </c>
      <c r="Q91" s="9" t="s">
        <v>97</v>
      </c>
      <c r="R91" s="9" t="s">
        <v>115</v>
      </c>
      <c r="S91" s="9" t="s">
        <v>88</v>
      </c>
      <c r="T91" s="9" t="s">
        <v>84</v>
      </c>
      <c r="U91" s="9" t="s">
        <v>98</v>
      </c>
      <c r="V91" s="24" t="str">
        <f t="shared" si="4"/>
        <v>Infrastructure</v>
      </c>
      <c r="W91" s="10" t="s">
        <v>6</v>
      </c>
      <c r="X91" s="10" t="s">
        <v>86</v>
      </c>
      <c r="Y91" s="10"/>
      <c r="Z91" s="10"/>
      <c r="AA91" s="10"/>
      <c r="AB91" s="22">
        <f>_xlfn.XLOOKUP(TIDP[[#This Row],[ACTIVITY ID]],Baseline[Activity Code],Baseline[Finish],"",0)</f>
        <v>46425</v>
      </c>
      <c r="AC91" s="10"/>
      <c r="AD91" s="10"/>
      <c r="AE91" s="10"/>
      <c r="AF91" s="10"/>
      <c r="AG91" s="10"/>
      <c r="AH91" s="11"/>
    </row>
    <row r="92" spans="1:34" x14ac:dyDescent="0.25">
      <c r="A92" s="63" t="str">
        <f t="shared" si="5"/>
        <v>QF01012-NES-C04518-SDW-CIV-05-Z00000-3FL0505</v>
      </c>
      <c r="B92" s="8" t="s">
        <v>235</v>
      </c>
      <c r="C92" s="8" t="s">
        <v>69</v>
      </c>
      <c r="D92" s="8" t="s">
        <v>70</v>
      </c>
      <c r="E92" s="8" t="s">
        <v>71</v>
      </c>
      <c r="F92" s="9" t="s">
        <v>72</v>
      </c>
      <c r="G92" s="9" t="s">
        <v>189</v>
      </c>
      <c r="H92" s="25">
        <v>46302</v>
      </c>
      <c r="I92" s="25" t="s">
        <v>186</v>
      </c>
      <c r="J92" s="9" t="s">
        <v>187</v>
      </c>
      <c r="K92" s="9"/>
      <c r="L92" s="9" t="s">
        <v>76</v>
      </c>
      <c r="M92" s="9" t="s">
        <v>77</v>
      </c>
      <c r="N92" s="9" t="s">
        <v>78</v>
      </c>
      <c r="O92" s="9" t="s">
        <v>79</v>
      </c>
      <c r="P92" s="9" t="s">
        <v>80</v>
      </c>
      <c r="Q92" s="9" t="s">
        <v>152</v>
      </c>
      <c r="R92" s="9" t="s">
        <v>115</v>
      </c>
      <c r="S92" s="9" t="s">
        <v>88</v>
      </c>
      <c r="T92" s="9" t="s">
        <v>84</v>
      </c>
      <c r="U92" s="9" t="s">
        <v>163</v>
      </c>
      <c r="V92" s="24" t="str">
        <f t="shared" si="4"/>
        <v>Infrastructure</v>
      </c>
      <c r="W92" s="10" t="s">
        <v>6</v>
      </c>
      <c r="X92" s="10" t="s">
        <v>86</v>
      </c>
      <c r="Y92" s="10"/>
      <c r="Z92" s="10"/>
      <c r="AA92" s="10"/>
      <c r="AB92" s="22">
        <f>_xlfn.XLOOKUP(TIDP[[#This Row],[ACTIVITY ID]],Baseline[Activity Code],Baseline[Finish],"",0)</f>
        <v>46425</v>
      </c>
      <c r="AC92" s="10"/>
      <c r="AD92" s="10"/>
      <c r="AE92" s="10"/>
      <c r="AF92" s="10"/>
      <c r="AG92" s="10"/>
      <c r="AH92" s="11"/>
    </row>
    <row r="93" spans="1:34" x14ac:dyDescent="0.25">
      <c r="A93" s="63" t="str">
        <f t="shared" si="5"/>
        <v>QF01012-NES-C04518-SDW-CIV-06-Z00000-3FL0506</v>
      </c>
      <c r="B93" s="8" t="s">
        <v>236</v>
      </c>
      <c r="C93" s="8" t="s">
        <v>69</v>
      </c>
      <c r="D93" s="8" t="s">
        <v>70</v>
      </c>
      <c r="E93" s="8" t="s">
        <v>71</v>
      </c>
      <c r="F93" s="9" t="s">
        <v>72</v>
      </c>
      <c r="G93" s="9" t="s">
        <v>189</v>
      </c>
      <c r="H93" s="25">
        <v>46302</v>
      </c>
      <c r="I93" s="25" t="s">
        <v>186</v>
      </c>
      <c r="J93" s="9" t="s">
        <v>187</v>
      </c>
      <c r="K93" s="9"/>
      <c r="L93" s="9" t="s">
        <v>76</v>
      </c>
      <c r="M93" s="9" t="s">
        <v>77</v>
      </c>
      <c r="N93" s="9" t="s">
        <v>78</v>
      </c>
      <c r="O93" s="9" t="s">
        <v>79</v>
      </c>
      <c r="P93" s="9" t="s">
        <v>80</v>
      </c>
      <c r="Q93" s="9" t="s">
        <v>155</v>
      </c>
      <c r="R93" s="9" t="s">
        <v>115</v>
      </c>
      <c r="S93" s="9" t="s">
        <v>88</v>
      </c>
      <c r="T93" s="9" t="s">
        <v>84</v>
      </c>
      <c r="U93" s="9" t="s">
        <v>165</v>
      </c>
      <c r="V93" s="24" t="str">
        <f t="shared" si="4"/>
        <v>Infrastructure</v>
      </c>
      <c r="W93" s="10" t="s">
        <v>6</v>
      </c>
      <c r="X93" s="10" t="s">
        <v>86</v>
      </c>
      <c r="Y93" s="10"/>
      <c r="Z93" s="10"/>
      <c r="AA93" s="10"/>
      <c r="AB93" s="22">
        <f>_xlfn.XLOOKUP(TIDP[[#This Row],[ACTIVITY ID]],Baseline[Activity Code],Baseline[Finish],"",0)</f>
        <v>46425</v>
      </c>
      <c r="AC93" s="10"/>
      <c r="AD93" s="10"/>
      <c r="AE93" s="10"/>
      <c r="AF93" s="10"/>
      <c r="AG93" s="10"/>
      <c r="AH93" s="11"/>
    </row>
    <row r="94" spans="1:34" ht="12" customHeight="1" x14ac:dyDescent="0.25">
      <c r="A94" s="63" t="str">
        <f t="shared" si="5"/>
        <v>QF01012-NES-C04518-SDW-CIV-07-Z00000-3FL0507</v>
      </c>
      <c r="B94" s="8" t="s">
        <v>237</v>
      </c>
      <c r="C94" s="8" t="s">
        <v>69</v>
      </c>
      <c r="D94" s="8" t="s">
        <v>70</v>
      </c>
      <c r="E94" s="8" t="s">
        <v>71</v>
      </c>
      <c r="F94" s="9" t="s">
        <v>72</v>
      </c>
      <c r="G94" s="9" t="s">
        <v>189</v>
      </c>
      <c r="H94" s="25">
        <v>46302</v>
      </c>
      <c r="I94" s="25" t="s">
        <v>186</v>
      </c>
      <c r="J94" s="9" t="s">
        <v>187</v>
      </c>
      <c r="K94" s="9"/>
      <c r="L94" s="9" t="s">
        <v>76</v>
      </c>
      <c r="M94" s="9" t="s">
        <v>77</v>
      </c>
      <c r="N94" s="9" t="s">
        <v>78</v>
      </c>
      <c r="O94" s="9" t="s">
        <v>79</v>
      </c>
      <c r="P94" s="9" t="s">
        <v>80</v>
      </c>
      <c r="Q94" s="9" t="s">
        <v>167</v>
      </c>
      <c r="R94" s="9" t="s">
        <v>115</v>
      </c>
      <c r="S94" s="9" t="s">
        <v>88</v>
      </c>
      <c r="T94" s="9" t="s">
        <v>84</v>
      </c>
      <c r="U94" s="9" t="s">
        <v>168</v>
      </c>
      <c r="V94" s="24" t="str">
        <f t="shared" si="4"/>
        <v>Infrastructure</v>
      </c>
      <c r="W94" s="10" t="s">
        <v>6</v>
      </c>
      <c r="X94" s="10" t="s">
        <v>86</v>
      </c>
      <c r="Y94" s="10"/>
      <c r="Z94" s="10"/>
      <c r="AA94" s="10"/>
      <c r="AB94" s="22">
        <f>_xlfn.XLOOKUP(TIDP[[#This Row],[ACTIVITY ID]],Baseline[Activity Code],Baseline[Finish],"",0)</f>
        <v>46425</v>
      </c>
      <c r="AC94" s="10"/>
      <c r="AD94" s="10"/>
      <c r="AE94" s="10"/>
      <c r="AF94" s="10"/>
      <c r="AG94" s="10"/>
      <c r="AH94" s="11"/>
    </row>
    <row r="95" spans="1:34" x14ac:dyDescent="0.25">
      <c r="A95" s="63" t="str">
        <f t="shared" si="5"/>
        <v>QF01012-NES-C04518-SDW-CIV-00-BLAD03-7ZZ7409</v>
      </c>
      <c r="B95" s="8" t="s">
        <v>238</v>
      </c>
      <c r="C95" s="8"/>
      <c r="D95" s="8" t="s">
        <v>70</v>
      </c>
      <c r="E95" s="8" t="s">
        <v>71</v>
      </c>
      <c r="F95" s="9" t="s">
        <v>72</v>
      </c>
      <c r="G95" s="9" t="s">
        <v>73</v>
      </c>
      <c r="H95" s="25">
        <v>46372</v>
      </c>
      <c r="I95" s="25" t="s">
        <v>186</v>
      </c>
      <c r="J95" s="9" t="s">
        <v>239</v>
      </c>
      <c r="K95" s="9"/>
      <c r="L95" s="9" t="s">
        <v>76</v>
      </c>
      <c r="M95" s="9" t="s">
        <v>77</v>
      </c>
      <c r="N95" s="9" t="s">
        <v>78</v>
      </c>
      <c r="O95" s="9" t="s">
        <v>79</v>
      </c>
      <c r="P95" s="9" t="s">
        <v>80</v>
      </c>
      <c r="Q95" s="9" t="s">
        <v>14</v>
      </c>
      <c r="R95" s="9" t="s">
        <v>106</v>
      </c>
      <c r="S95" s="9" t="s">
        <v>127</v>
      </c>
      <c r="T95" s="9" t="s">
        <v>117</v>
      </c>
      <c r="U95" s="9" t="s">
        <v>240</v>
      </c>
      <c r="V95" s="24" t="str">
        <f t="shared" si="4"/>
        <v>Infrastructure</v>
      </c>
      <c r="W95" s="10" t="s">
        <v>6</v>
      </c>
      <c r="X95" s="10" t="s">
        <v>86</v>
      </c>
      <c r="Y95" s="10"/>
      <c r="Z95" s="10"/>
      <c r="AA95" s="10"/>
      <c r="AB95" s="22">
        <f>_xlfn.XLOOKUP(TIDP[[#This Row],[ACTIVITY ID]],Baseline[Activity Code],Baseline[Finish],"",0)</f>
        <v>46621</v>
      </c>
      <c r="AC95" s="10"/>
      <c r="AD95" s="10"/>
      <c r="AE95" s="10"/>
      <c r="AF95" s="10"/>
      <c r="AG95" s="10"/>
      <c r="AH95" s="11"/>
    </row>
    <row r="96" spans="1:34" x14ac:dyDescent="0.25">
      <c r="A96" s="63" t="str">
        <f t="shared" si="5"/>
        <v>QF01012-NES-C04518-SDW-CIV-00-BLAD03-7ZZ7410</v>
      </c>
      <c r="B96" s="8" t="s">
        <v>241</v>
      </c>
      <c r="C96" s="8"/>
      <c r="D96" s="8" t="s">
        <v>70</v>
      </c>
      <c r="E96" s="8" t="s">
        <v>71</v>
      </c>
      <c r="F96" s="9" t="s">
        <v>72</v>
      </c>
      <c r="G96" s="9" t="s">
        <v>73</v>
      </c>
      <c r="H96" s="25">
        <v>46372</v>
      </c>
      <c r="I96" s="25" t="s">
        <v>186</v>
      </c>
      <c r="J96" s="9" t="s">
        <v>239</v>
      </c>
      <c r="K96" s="9"/>
      <c r="L96" s="9" t="s">
        <v>76</v>
      </c>
      <c r="M96" s="9" t="s">
        <v>77</v>
      </c>
      <c r="N96" s="9" t="s">
        <v>78</v>
      </c>
      <c r="O96" s="9" t="s">
        <v>79</v>
      </c>
      <c r="P96" s="9" t="s">
        <v>80</v>
      </c>
      <c r="Q96" s="9" t="s">
        <v>14</v>
      </c>
      <c r="R96" s="9" t="s">
        <v>106</v>
      </c>
      <c r="S96" s="9" t="s">
        <v>127</v>
      </c>
      <c r="T96" s="9" t="s">
        <v>117</v>
      </c>
      <c r="U96" s="9" t="s">
        <v>242</v>
      </c>
      <c r="V96" s="24" t="str">
        <f t="shared" si="4"/>
        <v>Infrastructure</v>
      </c>
      <c r="W96" s="10" t="s">
        <v>6</v>
      </c>
      <c r="X96" s="10" t="s">
        <v>86</v>
      </c>
      <c r="Y96" s="10"/>
      <c r="Z96" s="10"/>
      <c r="AA96" s="10"/>
      <c r="AB96" s="22">
        <f>_xlfn.XLOOKUP(TIDP[[#This Row],[ACTIVITY ID]],Baseline[Activity Code],Baseline[Finish],"",0)</f>
        <v>46621</v>
      </c>
      <c r="AC96" s="10"/>
      <c r="AD96" s="10"/>
      <c r="AE96" s="10"/>
      <c r="AF96" s="10"/>
      <c r="AG96" s="10"/>
      <c r="AH96" s="11"/>
    </row>
    <row r="97" spans="1:34" x14ac:dyDescent="0.25">
      <c r="A97" s="43" t="str">
        <f t="shared" si="5"/>
        <v>QF01012-NES-C04518-SDW-CIV-00-BLAD03-7ZZ7411</v>
      </c>
      <c r="B97" s="8" t="s">
        <v>243</v>
      </c>
      <c r="C97" s="8"/>
      <c r="D97" s="8" t="s">
        <v>70</v>
      </c>
      <c r="E97" s="8" t="s">
        <v>71</v>
      </c>
      <c r="F97" s="9" t="s">
        <v>72</v>
      </c>
      <c r="G97" s="9" t="s">
        <v>73</v>
      </c>
      <c r="H97" s="25">
        <v>46372</v>
      </c>
      <c r="I97" s="25" t="s">
        <v>186</v>
      </c>
      <c r="J97" s="9" t="s">
        <v>239</v>
      </c>
      <c r="K97" s="9"/>
      <c r="L97" s="9" t="s">
        <v>76</v>
      </c>
      <c r="M97" s="9" t="s">
        <v>77</v>
      </c>
      <c r="N97" s="9" t="s">
        <v>78</v>
      </c>
      <c r="O97" s="9" t="s">
        <v>79</v>
      </c>
      <c r="P97" s="9" t="s">
        <v>80</v>
      </c>
      <c r="Q97" s="9" t="s">
        <v>14</v>
      </c>
      <c r="R97" s="9" t="s">
        <v>106</v>
      </c>
      <c r="S97" s="9" t="s">
        <v>127</v>
      </c>
      <c r="T97" s="9" t="s">
        <v>117</v>
      </c>
      <c r="U97" s="9" t="s">
        <v>244</v>
      </c>
      <c r="V97" s="24" t="str">
        <f t="shared" si="4"/>
        <v>Infrastructure</v>
      </c>
      <c r="W97" s="10" t="s">
        <v>6</v>
      </c>
      <c r="X97" s="10" t="s">
        <v>86</v>
      </c>
      <c r="Y97" s="10"/>
      <c r="Z97" s="10"/>
      <c r="AA97" s="10"/>
      <c r="AB97" s="22">
        <f>_xlfn.XLOOKUP(TIDP[[#This Row],[ACTIVITY ID]],Baseline[Activity Code],Baseline[Finish],"",0)</f>
        <v>46621</v>
      </c>
      <c r="AC97" s="10"/>
      <c r="AD97" s="10"/>
      <c r="AE97" s="10"/>
      <c r="AF97" s="10"/>
      <c r="AG97" s="10"/>
      <c r="AH97" s="11"/>
    </row>
    <row r="98" spans="1:34" x14ac:dyDescent="0.25">
      <c r="A98" s="43" t="str">
        <f t="shared" si="5"/>
        <v>QF01012-NES-C04518-SDW-CIV-00-BLAD03-7ZZ7412</v>
      </c>
      <c r="B98" s="8" t="s">
        <v>245</v>
      </c>
      <c r="C98" s="8"/>
      <c r="D98" s="8" t="s">
        <v>70</v>
      </c>
      <c r="E98" s="8" t="s">
        <v>71</v>
      </c>
      <c r="F98" s="9" t="s">
        <v>72</v>
      </c>
      <c r="G98" s="9" t="s">
        <v>73</v>
      </c>
      <c r="H98" s="25">
        <v>46372</v>
      </c>
      <c r="I98" s="25" t="s">
        <v>186</v>
      </c>
      <c r="J98" s="9" t="s">
        <v>239</v>
      </c>
      <c r="K98" s="9"/>
      <c r="L98" s="9" t="s">
        <v>76</v>
      </c>
      <c r="M98" s="9" t="s">
        <v>77</v>
      </c>
      <c r="N98" s="9" t="s">
        <v>78</v>
      </c>
      <c r="O98" s="9" t="s">
        <v>79</v>
      </c>
      <c r="P98" s="9" t="s">
        <v>80</v>
      </c>
      <c r="Q98" s="9" t="s">
        <v>14</v>
      </c>
      <c r="R98" s="9" t="s">
        <v>106</v>
      </c>
      <c r="S98" s="9" t="s">
        <v>127</v>
      </c>
      <c r="T98" s="9" t="s">
        <v>117</v>
      </c>
      <c r="U98" s="9" t="s">
        <v>246</v>
      </c>
      <c r="V98" s="24" t="str">
        <f t="shared" si="4"/>
        <v>Infrastructure</v>
      </c>
      <c r="W98" s="10" t="s">
        <v>6</v>
      </c>
      <c r="X98" s="10" t="s">
        <v>86</v>
      </c>
      <c r="Y98" s="10"/>
      <c r="Z98" s="10"/>
      <c r="AA98" s="10"/>
      <c r="AB98" s="22">
        <f>_xlfn.XLOOKUP(TIDP[[#This Row],[ACTIVITY ID]],Baseline[Activity Code],Baseline[Finish],"",0)</f>
        <v>46621</v>
      </c>
      <c r="AC98" s="10"/>
      <c r="AD98" s="10"/>
      <c r="AE98" s="10"/>
      <c r="AF98" s="10"/>
      <c r="AG98" s="10"/>
      <c r="AH98" s="11"/>
    </row>
    <row r="99" spans="1:34" x14ac:dyDescent="0.25">
      <c r="A99" s="43" t="str">
        <f t="shared" si="5"/>
        <v>QF01012-NES-C04518-SDW-CIV-00-BLAD03-7ZZ7413</v>
      </c>
      <c r="B99" s="8" t="s">
        <v>247</v>
      </c>
      <c r="C99" s="8"/>
      <c r="D99" s="8" t="s">
        <v>70</v>
      </c>
      <c r="E99" s="8" t="s">
        <v>71</v>
      </c>
      <c r="F99" s="9" t="s">
        <v>72</v>
      </c>
      <c r="G99" s="9" t="s">
        <v>73</v>
      </c>
      <c r="H99" s="25">
        <v>46372</v>
      </c>
      <c r="I99" s="25" t="s">
        <v>186</v>
      </c>
      <c r="J99" s="9" t="s">
        <v>239</v>
      </c>
      <c r="K99" s="9"/>
      <c r="L99" s="9" t="s">
        <v>76</v>
      </c>
      <c r="M99" s="9" t="s">
        <v>77</v>
      </c>
      <c r="N99" s="9" t="s">
        <v>78</v>
      </c>
      <c r="O99" s="9" t="s">
        <v>79</v>
      </c>
      <c r="P99" s="9" t="s">
        <v>80</v>
      </c>
      <c r="Q99" s="9" t="s">
        <v>14</v>
      </c>
      <c r="R99" s="9" t="s">
        <v>106</v>
      </c>
      <c r="S99" s="9" t="s">
        <v>127</v>
      </c>
      <c r="T99" s="9" t="s">
        <v>117</v>
      </c>
      <c r="U99" s="9" t="s">
        <v>248</v>
      </c>
      <c r="V99" s="24" t="str">
        <f t="shared" si="4"/>
        <v>Infrastructure</v>
      </c>
      <c r="W99" s="10" t="s">
        <v>6</v>
      </c>
      <c r="X99" s="10" t="s">
        <v>86</v>
      </c>
      <c r="Y99" s="10"/>
      <c r="Z99" s="10"/>
      <c r="AA99" s="10"/>
      <c r="AB99" s="22">
        <f>_xlfn.XLOOKUP(TIDP[[#This Row],[ACTIVITY ID]],Baseline[Activity Code],Baseline[Finish],"",0)</f>
        <v>46621</v>
      </c>
      <c r="AC99" s="10"/>
      <c r="AD99" s="10"/>
      <c r="AE99" s="10"/>
      <c r="AF99" s="10"/>
      <c r="AG99" s="10"/>
      <c r="AH99" s="11"/>
    </row>
    <row r="100" spans="1:34" x14ac:dyDescent="0.25">
      <c r="A100" s="43" t="str">
        <f t="shared" si="5"/>
        <v>QF01012-NES-C04518-SDW-CIV-00-BLAD01-7ZZ7420</v>
      </c>
      <c r="B100" s="8" t="s">
        <v>249</v>
      </c>
      <c r="C100" s="8"/>
      <c r="D100" s="8" t="s">
        <v>70</v>
      </c>
      <c r="E100" s="8" t="s">
        <v>71</v>
      </c>
      <c r="F100" s="9" t="s">
        <v>72</v>
      </c>
      <c r="G100" s="9" t="s">
        <v>73</v>
      </c>
      <c r="H100" s="25">
        <v>46372</v>
      </c>
      <c r="I100" s="25" t="s">
        <v>186</v>
      </c>
      <c r="J100" s="9" t="s">
        <v>239</v>
      </c>
      <c r="K100" s="9"/>
      <c r="L100" s="9" t="s">
        <v>76</v>
      </c>
      <c r="M100" s="9" t="s">
        <v>77</v>
      </c>
      <c r="N100" s="9" t="s">
        <v>78</v>
      </c>
      <c r="O100" s="9" t="s">
        <v>79</v>
      </c>
      <c r="P100" s="9" t="s">
        <v>80</v>
      </c>
      <c r="Q100" s="9" t="s">
        <v>14</v>
      </c>
      <c r="R100" s="9" t="s">
        <v>82</v>
      </c>
      <c r="S100" s="9" t="s">
        <v>127</v>
      </c>
      <c r="T100" s="9" t="s">
        <v>117</v>
      </c>
      <c r="U100" s="9" t="s">
        <v>250</v>
      </c>
      <c r="V100" s="24" t="str">
        <f t="shared" si="4"/>
        <v>Infrastructure</v>
      </c>
      <c r="W100" s="10" t="s">
        <v>6</v>
      </c>
      <c r="X100" s="10" t="s">
        <v>86</v>
      </c>
      <c r="Y100" s="10"/>
      <c r="Z100" s="10"/>
      <c r="AA100" s="10"/>
      <c r="AB100" s="22">
        <f>_xlfn.XLOOKUP(TIDP[[#This Row],[ACTIVITY ID]],Baseline[Activity Code],Baseline[Finish],"",0)</f>
        <v>46621</v>
      </c>
      <c r="AC100" s="10"/>
      <c r="AD100" s="10"/>
      <c r="AE100" s="10"/>
      <c r="AF100" s="10"/>
      <c r="AG100" s="10"/>
      <c r="AH100" s="11"/>
    </row>
    <row r="101" spans="1:34" x14ac:dyDescent="0.25">
      <c r="A101" s="43" t="str">
        <f t="shared" si="5"/>
        <v>QF01012-NES-C04518-SDW-CIV-00-BLAD01-7ZZ7421</v>
      </c>
      <c r="B101" s="8" t="s">
        <v>251</v>
      </c>
      <c r="C101" s="8"/>
      <c r="D101" s="8" t="s">
        <v>70</v>
      </c>
      <c r="E101" s="8" t="s">
        <v>71</v>
      </c>
      <c r="F101" s="9" t="s">
        <v>72</v>
      </c>
      <c r="G101" s="9" t="s">
        <v>73</v>
      </c>
      <c r="H101" s="25">
        <v>46372</v>
      </c>
      <c r="I101" s="25" t="s">
        <v>186</v>
      </c>
      <c r="J101" s="9" t="s">
        <v>239</v>
      </c>
      <c r="K101" s="9"/>
      <c r="L101" s="9" t="s">
        <v>76</v>
      </c>
      <c r="M101" s="9" t="s">
        <v>77</v>
      </c>
      <c r="N101" s="9" t="s">
        <v>78</v>
      </c>
      <c r="O101" s="9" t="s">
        <v>79</v>
      </c>
      <c r="P101" s="9" t="s">
        <v>80</v>
      </c>
      <c r="Q101" s="9" t="s">
        <v>14</v>
      </c>
      <c r="R101" s="9" t="s">
        <v>82</v>
      </c>
      <c r="S101" s="9" t="s">
        <v>127</v>
      </c>
      <c r="T101" s="9" t="s">
        <v>117</v>
      </c>
      <c r="U101" s="9" t="s">
        <v>252</v>
      </c>
      <c r="V101" s="24" t="str">
        <f t="shared" ref="V101:V132" si="6">IF($B$6="","",$B$6)</f>
        <v>Infrastructure</v>
      </c>
      <c r="W101" s="10" t="s">
        <v>6</v>
      </c>
      <c r="X101" s="10" t="s">
        <v>86</v>
      </c>
      <c r="Y101" s="10"/>
      <c r="Z101" s="10"/>
      <c r="AA101" s="10"/>
      <c r="AB101" s="22">
        <f>_xlfn.XLOOKUP(TIDP[[#This Row],[ACTIVITY ID]],Baseline[Activity Code],Baseline[Finish],"",0)</f>
        <v>46621</v>
      </c>
      <c r="AC101" s="10"/>
      <c r="AD101" s="10"/>
      <c r="AE101" s="10"/>
      <c r="AF101" s="10"/>
      <c r="AG101" s="10"/>
      <c r="AH101" s="11"/>
    </row>
    <row r="102" spans="1:34" x14ac:dyDescent="0.25">
      <c r="A102" s="43" t="str">
        <f t="shared" si="5"/>
        <v>QF01012-NES-C04518-SDW-CIV-00-BLAD01-7ZZ7422</v>
      </c>
      <c r="B102" s="8" t="s">
        <v>253</v>
      </c>
      <c r="C102" s="8"/>
      <c r="D102" s="8" t="s">
        <v>70</v>
      </c>
      <c r="E102" s="8" t="s">
        <v>71</v>
      </c>
      <c r="F102" s="9" t="s">
        <v>72</v>
      </c>
      <c r="G102" s="9" t="s">
        <v>73</v>
      </c>
      <c r="H102" s="25">
        <v>46372</v>
      </c>
      <c r="I102" s="25" t="s">
        <v>186</v>
      </c>
      <c r="J102" s="9" t="s">
        <v>239</v>
      </c>
      <c r="K102" s="9"/>
      <c r="L102" s="9" t="s">
        <v>76</v>
      </c>
      <c r="M102" s="9" t="s">
        <v>77</v>
      </c>
      <c r="N102" s="9" t="s">
        <v>78</v>
      </c>
      <c r="O102" s="9" t="s">
        <v>79</v>
      </c>
      <c r="P102" s="9" t="s">
        <v>80</v>
      </c>
      <c r="Q102" s="9" t="s">
        <v>14</v>
      </c>
      <c r="R102" s="9" t="s">
        <v>82</v>
      </c>
      <c r="S102" s="9" t="s">
        <v>127</v>
      </c>
      <c r="T102" s="9" t="s">
        <v>117</v>
      </c>
      <c r="U102" s="9" t="s">
        <v>254</v>
      </c>
      <c r="V102" s="24" t="str">
        <f t="shared" si="6"/>
        <v>Infrastructure</v>
      </c>
      <c r="W102" s="10" t="s">
        <v>6</v>
      </c>
      <c r="X102" s="10" t="s">
        <v>86</v>
      </c>
      <c r="Y102" s="10"/>
      <c r="Z102" s="10"/>
      <c r="AA102" s="10"/>
      <c r="AB102" s="22">
        <f>_xlfn.XLOOKUP(TIDP[[#This Row],[ACTIVITY ID]],Baseline[Activity Code],Baseline[Finish],"",0)</f>
        <v>46621</v>
      </c>
      <c r="AC102" s="10"/>
      <c r="AD102" s="10"/>
      <c r="AE102" s="10"/>
      <c r="AF102" s="10"/>
      <c r="AG102" s="10"/>
      <c r="AH102" s="11"/>
    </row>
    <row r="103" spans="1:34" x14ac:dyDescent="0.25">
      <c r="A103" s="43" t="str">
        <f t="shared" si="5"/>
        <v>QF01012-NES-C04518-SDW-CIV-00-PARK01-2ZZ0100</v>
      </c>
      <c r="B103" s="8" t="s">
        <v>255</v>
      </c>
      <c r="C103" s="8" t="s">
        <v>69</v>
      </c>
      <c r="D103" s="8" t="s">
        <v>70</v>
      </c>
      <c r="E103" s="8" t="s">
        <v>71</v>
      </c>
      <c r="F103" s="9" t="s">
        <v>72</v>
      </c>
      <c r="G103" s="9" t="s">
        <v>185</v>
      </c>
      <c r="H103" s="25">
        <v>46288</v>
      </c>
      <c r="I103" s="25" t="s">
        <v>256</v>
      </c>
      <c r="J103" s="9" t="s">
        <v>257</v>
      </c>
      <c r="K103" s="9"/>
      <c r="L103" s="9" t="s">
        <v>76</v>
      </c>
      <c r="M103" s="9" t="s">
        <v>77</v>
      </c>
      <c r="N103" s="9" t="s">
        <v>78</v>
      </c>
      <c r="O103" s="9" t="s">
        <v>79</v>
      </c>
      <c r="P103" s="9" t="s">
        <v>80</v>
      </c>
      <c r="Q103" s="9" t="s">
        <v>14</v>
      </c>
      <c r="R103" s="9" t="s">
        <v>258</v>
      </c>
      <c r="S103" s="9" t="s">
        <v>83</v>
      </c>
      <c r="T103" s="9" t="s">
        <v>117</v>
      </c>
      <c r="U103" s="9" t="s">
        <v>142</v>
      </c>
      <c r="V103" s="24" t="str">
        <f t="shared" si="6"/>
        <v>Infrastructure</v>
      </c>
      <c r="W103" s="10" t="s">
        <v>6</v>
      </c>
      <c r="X103" s="10" t="s">
        <v>86</v>
      </c>
      <c r="Y103" s="10"/>
      <c r="Z103" s="10"/>
      <c r="AA103" s="10"/>
      <c r="AB103" s="22">
        <f>_xlfn.XLOOKUP(TIDP[[#This Row],[ACTIVITY ID]],Baseline[Activity Code],Baseline[Finish],"",0)</f>
        <v>46378</v>
      </c>
      <c r="AC103" s="10"/>
      <c r="AD103" s="10"/>
      <c r="AE103" s="10"/>
      <c r="AF103" s="10"/>
      <c r="AG103" s="10"/>
      <c r="AH103" s="11"/>
    </row>
    <row r="104" spans="1:34" x14ac:dyDescent="0.25">
      <c r="A104" s="43" t="str">
        <f t="shared" si="5"/>
        <v>QF01012-NES-C04518-SDW-CIV-01-PARK01-2FL0101</v>
      </c>
      <c r="B104" s="8" t="s">
        <v>259</v>
      </c>
      <c r="C104" s="8" t="s">
        <v>69</v>
      </c>
      <c r="D104" s="8" t="s">
        <v>70</v>
      </c>
      <c r="E104" s="8" t="s">
        <v>71</v>
      </c>
      <c r="F104" s="9" t="s">
        <v>72</v>
      </c>
      <c r="G104" s="9" t="s">
        <v>144</v>
      </c>
      <c r="H104" s="25">
        <v>46288</v>
      </c>
      <c r="I104" s="25" t="s">
        <v>256</v>
      </c>
      <c r="J104" s="9" t="s">
        <v>257</v>
      </c>
      <c r="K104" s="9"/>
      <c r="L104" s="9" t="s">
        <v>76</v>
      </c>
      <c r="M104" s="9" t="s">
        <v>77</v>
      </c>
      <c r="N104" s="9" t="s">
        <v>78</v>
      </c>
      <c r="O104" s="9" t="s">
        <v>79</v>
      </c>
      <c r="P104" s="9" t="s">
        <v>80</v>
      </c>
      <c r="Q104" s="9" t="s">
        <v>81</v>
      </c>
      <c r="R104" s="9" t="s">
        <v>258</v>
      </c>
      <c r="S104" s="9" t="s">
        <v>83</v>
      </c>
      <c r="T104" s="9" t="s">
        <v>84</v>
      </c>
      <c r="U104" s="9" t="s">
        <v>85</v>
      </c>
      <c r="V104" s="24" t="str">
        <f t="shared" si="6"/>
        <v>Infrastructure</v>
      </c>
      <c r="W104" s="10" t="s">
        <v>6</v>
      </c>
      <c r="X104" s="10" t="s">
        <v>86</v>
      </c>
      <c r="Y104" s="10"/>
      <c r="Z104" s="10"/>
      <c r="AA104" s="10"/>
      <c r="AB104" s="22">
        <f>_xlfn.XLOOKUP(TIDP[[#This Row],[ACTIVITY ID]],Baseline[Activity Code],Baseline[Finish],"",0)</f>
        <v>46378</v>
      </c>
      <c r="AC104" s="10"/>
      <c r="AD104" s="10"/>
      <c r="AE104" s="10"/>
      <c r="AF104" s="10"/>
      <c r="AG104" s="10"/>
      <c r="AH104" s="11"/>
    </row>
    <row r="105" spans="1:34" x14ac:dyDescent="0.25">
      <c r="A105" s="43" t="str">
        <f t="shared" si="5"/>
        <v>QF01012-NES-C04518-SDW-CIV-02-PARK01-2FL0102</v>
      </c>
      <c r="B105" s="8" t="s">
        <v>260</v>
      </c>
      <c r="C105" s="8" t="s">
        <v>69</v>
      </c>
      <c r="D105" s="8" t="s">
        <v>70</v>
      </c>
      <c r="E105" s="8" t="s">
        <v>71</v>
      </c>
      <c r="F105" s="9" t="s">
        <v>72</v>
      </c>
      <c r="G105" s="9" t="s">
        <v>144</v>
      </c>
      <c r="H105" s="25">
        <v>46288</v>
      </c>
      <c r="I105" s="25" t="s">
        <v>256</v>
      </c>
      <c r="J105" s="9" t="s">
        <v>257</v>
      </c>
      <c r="K105" s="9"/>
      <c r="L105" s="9" t="s">
        <v>76</v>
      </c>
      <c r="M105" s="9" t="s">
        <v>77</v>
      </c>
      <c r="N105" s="9" t="s">
        <v>78</v>
      </c>
      <c r="O105" s="9" t="s">
        <v>79</v>
      </c>
      <c r="P105" s="9" t="s">
        <v>80</v>
      </c>
      <c r="Q105" s="9" t="s">
        <v>91</v>
      </c>
      <c r="R105" s="9" t="s">
        <v>258</v>
      </c>
      <c r="S105" s="9" t="s">
        <v>83</v>
      </c>
      <c r="T105" s="9" t="s">
        <v>84</v>
      </c>
      <c r="U105" s="9" t="s">
        <v>146</v>
      </c>
      <c r="V105" s="24" t="str">
        <f t="shared" si="6"/>
        <v>Infrastructure</v>
      </c>
      <c r="W105" s="10" t="s">
        <v>6</v>
      </c>
      <c r="X105" s="10" t="s">
        <v>86</v>
      </c>
      <c r="Y105" s="10"/>
      <c r="Z105" s="10"/>
      <c r="AA105" s="10"/>
      <c r="AB105" s="22">
        <f>_xlfn.XLOOKUP(TIDP[[#This Row],[ACTIVITY ID]],Baseline[Activity Code],Baseline[Finish],"",0)</f>
        <v>46378</v>
      </c>
      <c r="AC105" s="10"/>
      <c r="AD105" s="10"/>
      <c r="AE105" s="10"/>
      <c r="AF105" s="10"/>
      <c r="AG105" s="10"/>
      <c r="AH105" s="11"/>
    </row>
    <row r="106" spans="1:34" x14ac:dyDescent="0.25">
      <c r="A106" s="43" t="str">
        <f t="shared" si="5"/>
        <v>QF01012-NES-C04518-SDW-CIV-03-PARK01-2FL0103</v>
      </c>
      <c r="B106" s="8" t="s">
        <v>261</v>
      </c>
      <c r="C106" s="8" t="s">
        <v>69</v>
      </c>
      <c r="D106" s="8" t="s">
        <v>70</v>
      </c>
      <c r="E106" s="8" t="s">
        <v>71</v>
      </c>
      <c r="F106" s="9" t="s">
        <v>72</v>
      </c>
      <c r="G106" s="9" t="s">
        <v>144</v>
      </c>
      <c r="H106" s="25">
        <v>46288</v>
      </c>
      <c r="I106" s="25" t="s">
        <v>256</v>
      </c>
      <c r="J106" s="9" t="s">
        <v>257</v>
      </c>
      <c r="K106" s="9"/>
      <c r="L106" s="9" t="s">
        <v>76</v>
      </c>
      <c r="M106" s="9" t="s">
        <v>77</v>
      </c>
      <c r="N106" s="9" t="s">
        <v>78</v>
      </c>
      <c r="O106" s="9" t="s">
        <v>79</v>
      </c>
      <c r="P106" s="9" t="s">
        <v>80</v>
      </c>
      <c r="Q106" s="9" t="s">
        <v>94</v>
      </c>
      <c r="R106" s="9" t="s">
        <v>258</v>
      </c>
      <c r="S106" s="9" t="s">
        <v>83</v>
      </c>
      <c r="T106" s="9" t="s">
        <v>84</v>
      </c>
      <c r="U106" s="9" t="s">
        <v>148</v>
      </c>
      <c r="V106" s="24" t="str">
        <f t="shared" si="6"/>
        <v>Infrastructure</v>
      </c>
      <c r="W106" s="10" t="s">
        <v>6</v>
      </c>
      <c r="X106" s="10" t="s">
        <v>86</v>
      </c>
      <c r="Y106" s="10"/>
      <c r="Z106" s="10"/>
      <c r="AA106" s="10"/>
      <c r="AB106" s="22">
        <f>_xlfn.XLOOKUP(TIDP[[#This Row],[ACTIVITY ID]],Baseline[Activity Code],Baseline[Finish],"",0)</f>
        <v>46378</v>
      </c>
      <c r="AC106" s="10"/>
      <c r="AD106" s="10"/>
      <c r="AE106" s="10"/>
      <c r="AF106" s="10"/>
      <c r="AG106" s="10"/>
      <c r="AH106" s="11"/>
    </row>
    <row r="107" spans="1:34" x14ac:dyDescent="0.25">
      <c r="A107" s="43" t="str">
        <f t="shared" si="5"/>
        <v>QF01012-NES-C04518-SDW-CIV-04-PARK01-2FL0104</v>
      </c>
      <c r="B107" s="8" t="s">
        <v>262</v>
      </c>
      <c r="C107" s="8" t="s">
        <v>69</v>
      </c>
      <c r="D107" s="8" t="s">
        <v>70</v>
      </c>
      <c r="E107" s="8" t="s">
        <v>71</v>
      </c>
      <c r="F107" s="9" t="s">
        <v>72</v>
      </c>
      <c r="G107" s="9" t="s">
        <v>144</v>
      </c>
      <c r="H107" s="25">
        <v>46288</v>
      </c>
      <c r="I107" s="25" t="s">
        <v>256</v>
      </c>
      <c r="J107" s="9" t="s">
        <v>257</v>
      </c>
      <c r="K107" s="9"/>
      <c r="L107" s="9" t="s">
        <v>76</v>
      </c>
      <c r="M107" s="9" t="s">
        <v>77</v>
      </c>
      <c r="N107" s="9" t="s">
        <v>78</v>
      </c>
      <c r="O107" s="9" t="s">
        <v>79</v>
      </c>
      <c r="P107" s="9" t="s">
        <v>80</v>
      </c>
      <c r="Q107" s="9" t="s">
        <v>97</v>
      </c>
      <c r="R107" s="9" t="s">
        <v>258</v>
      </c>
      <c r="S107" s="9" t="s">
        <v>83</v>
      </c>
      <c r="T107" s="9" t="s">
        <v>84</v>
      </c>
      <c r="U107" s="9" t="s">
        <v>150</v>
      </c>
      <c r="V107" s="24" t="str">
        <f t="shared" si="6"/>
        <v>Infrastructure</v>
      </c>
      <c r="W107" s="10" t="s">
        <v>6</v>
      </c>
      <c r="X107" s="10" t="s">
        <v>86</v>
      </c>
      <c r="Y107" s="10"/>
      <c r="Z107" s="10"/>
      <c r="AA107" s="10"/>
      <c r="AB107" s="22">
        <f>_xlfn.XLOOKUP(TIDP[[#This Row],[ACTIVITY ID]],Baseline[Activity Code],Baseline[Finish],"",0)</f>
        <v>46378</v>
      </c>
      <c r="AC107" s="10"/>
      <c r="AD107" s="10"/>
      <c r="AE107" s="10"/>
      <c r="AF107" s="10"/>
      <c r="AG107" s="10"/>
      <c r="AH107" s="11"/>
    </row>
    <row r="108" spans="1:34" x14ac:dyDescent="0.25">
      <c r="A108" s="43" t="str">
        <f t="shared" si="5"/>
        <v>QF01012-NES-C04518-SDW-CIV-05-PARK01-2FL0105</v>
      </c>
      <c r="B108" s="8" t="s">
        <v>263</v>
      </c>
      <c r="C108" s="8" t="s">
        <v>69</v>
      </c>
      <c r="D108" s="8" t="s">
        <v>70</v>
      </c>
      <c r="E108" s="8" t="s">
        <v>71</v>
      </c>
      <c r="F108" s="9" t="s">
        <v>72</v>
      </c>
      <c r="G108" s="9" t="s">
        <v>144</v>
      </c>
      <c r="H108" s="25">
        <v>46288</v>
      </c>
      <c r="I108" s="25" t="s">
        <v>256</v>
      </c>
      <c r="J108" s="9" t="s">
        <v>257</v>
      </c>
      <c r="K108" s="9"/>
      <c r="L108" s="9" t="s">
        <v>76</v>
      </c>
      <c r="M108" s="9" t="s">
        <v>77</v>
      </c>
      <c r="N108" s="9" t="s">
        <v>78</v>
      </c>
      <c r="O108" s="9" t="s">
        <v>79</v>
      </c>
      <c r="P108" s="9" t="s">
        <v>80</v>
      </c>
      <c r="Q108" s="9" t="s">
        <v>152</v>
      </c>
      <c r="R108" s="9" t="s">
        <v>258</v>
      </c>
      <c r="S108" s="9" t="s">
        <v>83</v>
      </c>
      <c r="T108" s="9" t="s">
        <v>84</v>
      </c>
      <c r="U108" s="9" t="s">
        <v>153</v>
      </c>
      <c r="V108" s="24" t="str">
        <f t="shared" si="6"/>
        <v>Infrastructure</v>
      </c>
      <c r="W108" s="10" t="s">
        <v>6</v>
      </c>
      <c r="X108" s="10" t="s">
        <v>86</v>
      </c>
      <c r="Y108" s="10"/>
      <c r="Z108" s="10"/>
      <c r="AA108" s="10"/>
      <c r="AB108" s="22">
        <f>_xlfn.XLOOKUP(TIDP[[#This Row],[ACTIVITY ID]],Baseline[Activity Code],Baseline[Finish],"",0)</f>
        <v>46378</v>
      </c>
      <c r="AC108" s="10"/>
      <c r="AD108" s="10"/>
      <c r="AE108" s="10"/>
      <c r="AF108" s="10"/>
      <c r="AG108" s="10"/>
      <c r="AH108" s="11"/>
    </row>
    <row r="109" spans="1:34" x14ac:dyDescent="0.25">
      <c r="A109" s="43" t="str">
        <f t="shared" si="5"/>
        <v>QF01012-NES-C04518-SDW-CIV-06-PARK01-2FL0106</v>
      </c>
      <c r="B109" s="8" t="s">
        <v>264</v>
      </c>
      <c r="C109" s="8" t="s">
        <v>69</v>
      </c>
      <c r="D109" s="8" t="s">
        <v>70</v>
      </c>
      <c r="E109" s="8" t="s">
        <v>71</v>
      </c>
      <c r="F109" s="9" t="s">
        <v>72</v>
      </c>
      <c r="G109" s="9" t="s">
        <v>144</v>
      </c>
      <c r="H109" s="25">
        <v>46288</v>
      </c>
      <c r="I109" s="25" t="s">
        <v>256</v>
      </c>
      <c r="J109" s="9" t="s">
        <v>257</v>
      </c>
      <c r="K109" s="9"/>
      <c r="L109" s="9" t="s">
        <v>76</v>
      </c>
      <c r="M109" s="9" t="s">
        <v>77</v>
      </c>
      <c r="N109" s="9" t="s">
        <v>78</v>
      </c>
      <c r="O109" s="9" t="s">
        <v>79</v>
      </c>
      <c r="P109" s="9" t="s">
        <v>80</v>
      </c>
      <c r="Q109" s="9" t="s">
        <v>155</v>
      </c>
      <c r="R109" s="9" t="s">
        <v>258</v>
      </c>
      <c r="S109" s="9" t="s">
        <v>83</v>
      </c>
      <c r="T109" s="9" t="s">
        <v>84</v>
      </c>
      <c r="U109" s="9" t="s">
        <v>156</v>
      </c>
      <c r="V109" s="24" t="str">
        <f t="shared" si="6"/>
        <v>Infrastructure</v>
      </c>
      <c r="W109" s="10" t="s">
        <v>6</v>
      </c>
      <c r="X109" s="10" t="s">
        <v>86</v>
      </c>
      <c r="Y109" s="10"/>
      <c r="Z109" s="10"/>
      <c r="AA109" s="10"/>
      <c r="AB109" s="22">
        <f>_xlfn.XLOOKUP(TIDP[[#This Row],[ACTIVITY ID]],Baseline[Activity Code],Baseline[Finish],"",0)</f>
        <v>46378</v>
      </c>
      <c r="AC109" s="10"/>
      <c r="AD109" s="10"/>
      <c r="AE109" s="10"/>
      <c r="AF109" s="10"/>
      <c r="AG109" s="10"/>
      <c r="AH109" s="11"/>
    </row>
    <row r="110" spans="1:34" x14ac:dyDescent="0.25">
      <c r="A110" s="43" t="str">
        <f t="shared" si="5"/>
        <v>QF01012-NES-C04518-SDW-CIV-07-PARK01-2FL0107</v>
      </c>
      <c r="B110" s="8" t="s">
        <v>265</v>
      </c>
      <c r="C110" s="8" t="s">
        <v>69</v>
      </c>
      <c r="D110" s="8" t="s">
        <v>70</v>
      </c>
      <c r="E110" s="8" t="s">
        <v>71</v>
      </c>
      <c r="F110" s="9" t="s">
        <v>72</v>
      </c>
      <c r="G110" s="9" t="s">
        <v>144</v>
      </c>
      <c r="H110" s="25">
        <v>46288</v>
      </c>
      <c r="I110" s="25" t="s">
        <v>256</v>
      </c>
      <c r="J110" s="9" t="s">
        <v>257</v>
      </c>
      <c r="K110" s="9"/>
      <c r="L110" s="9" t="s">
        <v>76</v>
      </c>
      <c r="M110" s="9" t="s">
        <v>77</v>
      </c>
      <c r="N110" s="9" t="s">
        <v>78</v>
      </c>
      <c r="O110" s="9" t="s">
        <v>79</v>
      </c>
      <c r="P110" s="9" t="s">
        <v>80</v>
      </c>
      <c r="Q110" s="9" t="s">
        <v>167</v>
      </c>
      <c r="R110" s="9" t="s">
        <v>258</v>
      </c>
      <c r="S110" s="9" t="s">
        <v>83</v>
      </c>
      <c r="T110" s="9" t="s">
        <v>84</v>
      </c>
      <c r="U110" s="9" t="s">
        <v>198</v>
      </c>
      <c r="V110" s="24" t="str">
        <f t="shared" si="6"/>
        <v>Infrastructure</v>
      </c>
      <c r="W110" s="10" t="s">
        <v>6</v>
      </c>
      <c r="X110" s="10" t="s">
        <v>86</v>
      </c>
      <c r="Y110" s="10"/>
      <c r="Z110" s="10"/>
      <c r="AA110" s="10"/>
      <c r="AB110" s="22">
        <f>_xlfn.XLOOKUP(TIDP[[#This Row],[ACTIVITY ID]],Baseline[Activity Code],Baseline[Finish],"",0)</f>
        <v>46378</v>
      </c>
      <c r="AC110" s="10"/>
      <c r="AD110" s="10"/>
      <c r="AE110" s="10"/>
      <c r="AF110" s="10"/>
      <c r="AG110" s="10"/>
      <c r="AH110" s="11"/>
    </row>
    <row r="111" spans="1:34" x14ac:dyDescent="0.25">
      <c r="A111" s="43" t="str">
        <f t="shared" si="5"/>
        <v>QF01012-NES-C04518-SDW-CIV-08-PARK01-2FL0108</v>
      </c>
      <c r="B111" s="8" t="s">
        <v>266</v>
      </c>
      <c r="C111" s="8" t="s">
        <v>69</v>
      </c>
      <c r="D111" s="8" t="s">
        <v>70</v>
      </c>
      <c r="E111" s="8" t="s">
        <v>71</v>
      </c>
      <c r="F111" s="9" t="s">
        <v>72</v>
      </c>
      <c r="G111" s="9" t="s">
        <v>144</v>
      </c>
      <c r="H111" s="25">
        <v>46288</v>
      </c>
      <c r="I111" s="25" t="s">
        <v>256</v>
      </c>
      <c r="J111" s="9" t="s">
        <v>257</v>
      </c>
      <c r="K111" s="9"/>
      <c r="L111" s="9" t="s">
        <v>76</v>
      </c>
      <c r="M111" s="9" t="s">
        <v>77</v>
      </c>
      <c r="N111" s="9" t="s">
        <v>78</v>
      </c>
      <c r="O111" s="9" t="s">
        <v>79</v>
      </c>
      <c r="P111" s="9" t="s">
        <v>80</v>
      </c>
      <c r="Q111" s="9" t="s">
        <v>170</v>
      </c>
      <c r="R111" s="9" t="s">
        <v>258</v>
      </c>
      <c r="S111" s="9" t="s">
        <v>83</v>
      </c>
      <c r="T111" s="9" t="s">
        <v>84</v>
      </c>
      <c r="U111" s="9" t="s">
        <v>200</v>
      </c>
      <c r="V111" s="24" t="str">
        <f t="shared" si="6"/>
        <v>Infrastructure</v>
      </c>
      <c r="W111" s="10" t="s">
        <v>6</v>
      </c>
      <c r="X111" s="10" t="s">
        <v>86</v>
      </c>
      <c r="Y111" s="10"/>
      <c r="Z111" s="10"/>
      <c r="AA111" s="10"/>
      <c r="AB111" s="22">
        <f>_xlfn.XLOOKUP(TIDP[[#This Row],[ACTIVITY ID]],Baseline[Activity Code],Baseline[Finish],"",0)</f>
        <v>46378</v>
      </c>
      <c r="AC111" s="10"/>
      <c r="AD111" s="10"/>
      <c r="AE111" s="10"/>
      <c r="AF111" s="10"/>
      <c r="AG111" s="10"/>
      <c r="AH111" s="11"/>
    </row>
    <row r="112" spans="1:34" x14ac:dyDescent="0.25">
      <c r="A112" s="43" t="str">
        <f t="shared" si="5"/>
        <v>QF01012-NES-C04518-SDW-CIV-01-PARK01-3FL0501</v>
      </c>
      <c r="B112" s="8" t="s">
        <v>267</v>
      </c>
      <c r="C112" s="8" t="s">
        <v>69</v>
      </c>
      <c r="D112" s="8" t="s">
        <v>70</v>
      </c>
      <c r="E112" s="8" t="s">
        <v>71</v>
      </c>
      <c r="F112" s="9" t="s">
        <v>72</v>
      </c>
      <c r="G112" s="9" t="s">
        <v>144</v>
      </c>
      <c r="H112" s="25">
        <v>46288</v>
      </c>
      <c r="I112" s="25" t="s">
        <v>256</v>
      </c>
      <c r="J112" s="9" t="s">
        <v>257</v>
      </c>
      <c r="K112" s="9"/>
      <c r="L112" s="9" t="s">
        <v>76</v>
      </c>
      <c r="M112" s="9" t="s">
        <v>77</v>
      </c>
      <c r="N112" s="9" t="s">
        <v>78</v>
      </c>
      <c r="O112" s="9" t="s">
        <v>79</v>
      </c>
      <c r="P112" s="9" t="s">
        <v>80</v>
      </c>
      <c r="Q112" s="9" t="s">
        <v>81</v>
      </c>
      <c r="R112" s="9" t="s">
        <v>258</v>
      </c>
      <c r="S112" s="9" t="s">
        <v>88</v>
      </c>
      <c r="T112" s="9" t="s">
        <v>84</v>
      </c>
      <c r="U112" s="9" t="s">
        <v>89</v>
      </c>
      <c r="V112" s="24" t="str">
        <f t="shared" si="6"/>
        <v>Infrastructure</v>
      </c>
      <c r="W112" s="10" t="s">
        <v>6</v>
      </c>
      <c r="X112" s="10" t="s">
        <v>86</v>
      </c>
      <c r="Y112" s="10"/>
      <c r="Z112" s="10"/>
      <c r="AA112" s="10"/>
      <c r="AB112" s="22">
        <f>_xlfn.XLOOKUP(TIDP[[#This Row],[ACTIVITY ID]],Baseline[Activity Code],Baseline[Finish],"",0)</f>
        <v>46378</v>
      </c>
      <c r="AC112" s="10"/>
      <c r="AD112" s="10"/>
      <c r="AE112" s="10"/>
      <c r="AF112" s="10"/>
      <c r="AG112" s="10"/>
      <c r="AH112" s="11"/>
    </row>
    <row r="113" spans="1:34" x14ac:dyDescent="0.25">
      <c r="A113" s="43" t="str">
        <f t="shared" ref="A113:A144" si="7">CONCATENATE(TRIM(L113),"-",TRIM(M113),"-",TRIM(N113),"-",TRIM(O113),"-",TRIM(P113),"-",TRIM(Q113),"-",TRIM(R113),"-",TRIM(S113),TRIM(T113),TRIM(U113))</f>
        <v>QF01012-NES-C04518-SDW-CIV-02-PARK01-3FL0502</v>
      </c>
      <c r="B113" s="8" t="s">
        <v>268</v>
      </c>
      <c r="C113" s="8" t="s">
        <v>69</v>
      </c>
      <c r="D113" s="8" t="s">
        <v>70</v>
      </c>
      <c r="E113" s="8" t="s">
        <v>71</v>
      </c>
      <c r="F113" s="9" t="s">
        <v>72</v>
      </c>
      <c r="G113" s="9" t="s">
        <v>144</v>
      </c>
      <c r="H113" s="25">
        <v>46288</v>
      </c>
      <c r="I113" s="25" t="s">
        <v>256</v>
      </c>
      <c r="J113" s="9" t="s">
        <v>257</v>
      </c>
      <c r="K113" s="9"/>
      <c r="L113" s="9" t="s">
        <v>76</v>
      </c>
      <c r="M113" s="9" t="s">
        <v>77</v>
      </c>
      <c r="N113" s="9" t="s">
        <v>78</v>
      </c>
      <c r="O113" s="9" t="s">
        <v>79</v>
      </c>
      <c r="P113" s="9" t="s">
        <v>80</v>
      </c>
      <c r="Q113" s="9" t="s">
        <v>91</v>
      </c>
      <c r="R113" s="9" t="s">
        <v>258</v>
      </c>
      <c r="S113" s="9" t="s">
        <v>88</v>
      </c>
      <c r="T113" s="9" t="s">
        <v>84</v>
      </c>
      <c r="U113" s="9" t="s">
        <v>92</v>
      </c>
      <c r="V113" s="24" t="str">
        <f t="shared" si="6"/>
        <v>Infrastructure</v>
      </c>
      <c r="W113" s="10" t="s">
        <v>6</v>
      </c>
      <c r="X113" s="10" t="s">
        <v>86</v>
      </c>
      <c r="Y113" s="10"/>
      <c r="Z113" s="10"/>
      <c r="AA113" s="10"/>
      <c r="AB113" s="22">
        <f>_xlfn.XLOOKUP(TIDP[[#This Row],[ACTIVITY ID]],Baseline[Activity Code],Baseline[Finish],"",0)</f>
        <v>46378</v>
      </c>
      <c r="AC113" s="10"/>
      <c r="AD113" s="10"/>
      <c r="AE113" s="10"/>
      <c r="AF113" s="10"/>
      <c r="AG113" s="10"/>
      <c r="AH113" s="11"/>
    </row>
    <row r="114" spans="1:34" x14ac:dyDescent="0.25">
      <c r="A114" s="43" t="str">
        <f t="shared" si="7"/>
        <v>QF01012-NES-C04518-SDW-CIV-03-PARK01-3FL0503</v>
      </c>
      <c r="B114" s="8" t="s">
        <v>269</v>
      </c>
      <c r="C114" s="8" t="s">
        <v>69</v>
      </c>
      <c r="D114" s="8" t="s">
        <v>70</v>
      </c>
      <c r="E114" s="8" t="s">
        <v>71</v>
      </c>
      <c r="F114" s="9" t="s">
        <v>72</v>
      </c>
      <c r="G114" s="9" t="s">
        <v>144</v>
      </c>
      <c r="H114" s="25">
        <v>46288</v>
      </c>
      <c r="I114" s="25" t="s">
        <v>256</v>
      </c>
      <c r="J114" s="9" t="s">
        <v>257</v>
      </c>
      <c r="K114" s="9"/>
      <c r="L114" s="9" t="s">
        <v>76</v>
      </c>
      <c r="M114" s="9" t="s">
        <v>77</v>
      </c>
      <c r="N114" s="9" t="s">
        <v>78</v>
      </c>
      <c r="O114" s="9" t="s">
        <v>79</v>
      </c>
      <c r="P114" s="9" t="s">
        <v>80</v>
      </c>
      <c r="Q114" s="9" t="s">
        <v>94</v>
      </c>
      <c r="R114" s="9" t="s">
        <v>258</v>
      </c>
      <c r="S114" s="9" t="s">
        <v>88</v>
      </c>
      <c r="T114" s="9" t="s">
        <v>84</v>
      </c>
      <c r="U114" s="9" t="s">
        <v>95</v>
      </c>
      <c r="V114" s="24" t="str">
        <f t="shared" si="6"/>
        <v>Infrastructure</v>
      </c>
      <c r="W114" s="10" t="s">
        <v>6</v>
      </c>
      <c r="X114" s="10" t="s">
        <v>86</v>
      </c>
      <c r="Y114" s="10"/>
      <c r="Z114" s="10"/>
      <c r="AA114" s="10"/>
      <c r="AB114" s="22">
        <f>_xlfn.XLOOKUP(TIDP[[#This Row],[ACTIVITY ID]],Baseline[Activity Code],Baseline[Finish],"",0)</f>
        <v>46378</v>
      </c>
      <c r="AC114" s="10"/>
      <c r="AD114" s="10"/>
      <c r="AE114" s="10"/>
      <c r="AF114" s="10"/>
      <c r="AG114" s="10"/>
      <c r="AH114" s="11"/>
    </row>
    <row r="115" spans="1:34" x14ac:dyDescent="0.25">
      <c r="A115" s="43" t="str">
        <f t="shared" si="7"/>
        <v>QF01012-NES-C04518-SDW-CIV-04-PARK01-3FL0504</v>
      </c>
      <c r="B115" s="8" t="s">
        <v>270</v>
      </c>
      <c r="C115" s="8" t="s">
        <v>69</v>
      </c>
      <c r="D115" s="8" t="s">
        <v>70</v>
      </c>
      <c r="E115" s="8" t="s">
        <v>71</v>
      </c>
      <c r="F115" s="9" t="s">
        <v>72</v>
      </c>
      <c r="G115" s="9" t="s">
        <v>144</v>
      </c>
      <c r="H115" s="25">
        <v>46288</v>
      </c>
      <c r="I115" s="25" t="s">
        <v>256</v>
      </c>
      <c r="J115" s="9" t="s">
        <v>257</v>
      </c>
      <c r="K115" s="9"/>
      <c r="L115" s="9" t="s">
        <v>76</v>
      </c>
      <c r="M115" s="9" t="s">
        <v>77</v>
      </c>
      <c r="N115" s="9" t="s">
        <v>78</v>
      </c>
      <c r="O115" s="9" t="s">
        <v>79</v>
      </c>
      <c r="P115" s="9" t="s">
        <v>80</v>
      </c>
      <c r="Q115" s="9" t="s">
        <v>97</v>
      </c>
      <c r="R115" s="9" t="s">
        <v>258</v>
      </c>
      <c r="S115" s="9" t="s">
        <v>88</v>
      </c>
      <c r="T115" s="9" t="s">
        <v>84</v>
      </c>
      <c r="U115" s="9" t="s">
        <v>98</v>
      </c>
      <c r="V115" s="24" t="str">
        <f t="shared" si="6"/>
        <v>Infrastructure</v>
      </c>
      <c r="W115" s="10" t="s">
        <v>6</v>
      </c>
      <c r="X115" s="10" t="s">
        <v>86</v>
      </c>
      <c r="Y115" s="10"/>
      <c r="Z115" s="10"/>
      <c r="AA115" s="10"/>
      <c r="AB115" s="22">
        <f>_xlfn.XLOOKUP(TIDP[[#This Row],[ACTIVITY ID]],Baseline[Activity Code],Baseline[Finish],"",0)</f>
        <v>46378</v>
      </c>
      <c r="AC115" s="10"/>
      <c r="AD115" s="10"/>
      <c r="AE115" s="10"/>
      <c r="AF115" s="10"/>
      <c r="AG115" s="10"/>
      <c r="AH115" s="11"/>
    </row>
    <row r="116" spans="1:34" x14ac:dyDescent="0.25">
      <c r="A116" s="43" t="str">
        <f t="shared" si="7"/>
        <v>QF01012-NES-C04518-SDW-CIV-05-PARK01-3FL0505</v>
      </c>
      <c r="B116" s="8" t="s">
        <v>271</v>
      </c>
      <c r="C116" s="8" t="s">
        <v>69</v>
      </c>
      <c r="D116" s="8" t="s">
        <v>70</v>
      </c>
      <c r="E116" s="8" t="s">
        <v>71</v>
      </c>
      <c r="F116" s="9" t="s">
        <v>72</v>
      </c>
      <c r="G116" s="9" t="s">
        <v>144</v>
      </c>
      <c r="H116" s="25">
        <v>46288</v>
      </c>
      <c r="I116" s="25" t="s">
        <v>256</v>
      </c>
      <c r="J116" s="9" t="s">
        <v>257</v>
      </c>
      <c r="K116" s="9"/>
      <c r="L116" s="9" t="s">
        <v>76</v>
      </c>
      <c r="M116" s="9" t="s">
        <v>77</v>
      </c>
      <c r="N116" s="9" t="s">
        <v>78</v>
      </c>
      <c r="O116" s="9" t="s">
        <v>79</v>
      </c>
      <c r="P116" s="9" t="s">
        <v>80</v>
      </c>
      <c r="Q116" s="9" t="s">
        <v>152</v>
      </c>
      <c r="R116" s="9" t="s">
        <v>258</v>
      </c>
      <c r="S116" s="9" t="s">
        <v>88</v>
      </c>
      <c r="T116" s="9" t="s">
        <v>84</v>
      </c>
      <c r="U116" s="9" t="s">
        <v>163</v>
      </c>
      <c r="V116" s="24" t="str">
        <f t="shared" si="6"/>
        <v>Infrastructure</v>
      </c>
      <c r="W116" s="10" t="s">
        <v>6</v>
      </c>
      <c r="X116" s="10" t="s">
        <v>86</v>
      </c>
      <c r="Y116" s="10"/>
      <c r="Z116" s="10"/>
      <c r="AA116" s="10"/>
      <c r="AB116" s="22">
        <f>_xlfn.XLOOKUP(TIDP[[#This Row],[ACTIVITY ID]],Baseline[Activity Code],Baseline[Finish],"",0)</f>
        <v>46378</v>
      </c>
      <c r="AC116" s="10"/>
      <c r="AD116" s="10"/>
      <c r="AE116" s="10"/>
      <c r="AF116" s="10"/>
      <c r="AG116" s="10"/>
      <c r="AH116" s="11"/>
    </row>
    <row r="117" spans="1:34" x14ac:dyDescent="0.25">
      <c r="A117" s="43" t="str">
        <f t="shared" si="7"/>
        <v>QF01012-NES-C04518-SDW-CIV-06-PARK01-3FL0506</v>
      </c>
      <c r="B117" s="8" t="s">
        <v>272</v>
      </c>
      <c r="C117" s="8" t="s">
        <v>69</v>
      </c>
      <c r="D117" s="8" t="s">
        <v>70</v>
      </c>
      <c r="E117" s="8" t="s">
        <v>71</v>
      </c>
      <c r="F117" s="9" t="s">
        <v>72</v>
      </c>
      <c r="G117" s="9" t="s">
        <v>144</v>
      </c>
      <c r="H117" s="25">
        <v>46288</v>
      </c>
      <c r="I117" s="25" t="s">
        <v>256</v>
      </c>
      <c r="J117" s="9" t="s">
        <v>257</v>
      </c>
      <c r="K117" s="9"/>
      <c r="L117" s="9" t="s">
        <v>76</v>
      </c>
      <c r="M117" s="9" t="s">
        <v>77</v>
      </c>
      <c r="N117" s="9" t="s">
        <v>78</v>
      </c>
      <c r="O117" s="9" t="s">
        <v>79</v>
      </c>
      <c r="P117" s="9" t="s">
        <v>80</v>
      </c>
      <c r="Q117" s="9" t="s">
        <v>155</v>
      </c>
      <c r="R117" s="9" t="s">
        <v>258</v>
      </c>
      <c r="S117" s="9" t="s">
        <v>88</v>
      </c>
      <c r="T117" s="9" t="s">
        <v>84</v>
      </c>
      <c r="U117" s="9" t="s">
        <v>165</v>
      </c>
      <c r="V117" s="24" t="str">
        <f t="shared" si="6"/>
        <v>Infrastructure</v>
      </c>
      <c r="W117" s="10" t="s">
        <v>6</v>
      </c>
      <c r="X117" s="10" t="s">
        <v>86</v>
      </c>
      <c r="Y117" s="10"/>
      <c r="Z117" s="10"/>
      <c r="AA117" s="10"/>
      <c r="AB117" s="22">
        <f>_xlfn.XLOOKUP(TIDP[[#This Row],[ACTIVITY ID]],Baseline[Activity Code],Baseline[Finish],"",0)</f>
        <v>46378</v>
      </c>
      <c r="AC117" s="10"/>
      <c r="AD117" s="10"/>
      <c r="AE117" s="10"/>
      <c r="AF117" s="10"/>
      <c r="AG117" s="10"/>
      <c r="AH117" s="11"/>
    </row>
    <row r="118" spans="1:34" x14ac:dyDescent="0.25">
      <c r="A118" s="43" t="str">
        <f t="shared" si="7"/>
        <v>QF01012-NES-C04518-SDW-CIV-07-PARK01-3FL0507</v>
      </c>
      <c r="B118" s="8" t="s">
        <v>273</v>
      </c>
      <c r="C118" s="8" t="s">
        <v>69</v>
      </c>
      <c r="D118" s="8" t="s">
        <v>70</v>
      </c>
      <c r="E118" s="8" t="s">
        <v>71</v>
      </c>
      <c r="F118" s="9" t="s">
        <v>72</v>
      </c>
      <c r="G118" s="9" t="s">
        <v>144</v>
      </c>
      <c r="H118" s="25">
        <v>46288</v>
      </c>
      <c r="I118" s="25" t="s">
        <v>256</v>
      </c>
      <c r="J118" s="9" t="s">
        <v>257</v>
      </c>
      <c r="K118" s="9"/>
      <c r="L118" s="9" t="s">
        <v>76</v>
      </c>
      <c r="M118" s="9" t="s">
        <v>77</v>
      </c>
      <c r="N118" s="9" t="s">
        <v>78</v>
      </c>
      <c r="O118" s="9" t="s">
        <v>79</v>
      </c>
      <c r="P118" s="9" t="s">
        <v>80</v>
      </c>
      <c r="Q118" s="9" t="s">
        <v>167</v>
      </c>
      <c r="R118" s="9" t="s">
        <v>258</v>
      </c>
      <c r="S118" s="9" t="s">
        <v>88</v>
      </c>
      <c r="T118" s="9" t="s">
        <v>84</v>
      </c>
      <c r="U118" s="9" t="s">
        <v>168</v>
      </c>
      <c r="V118" s="24" t="str">
        <f t="shared" si="6"/>
        <v>Infrastructure</v>
      </c>
      <c r="W118" s="10" t="s">
        <v>6</v>
      </c>
      <c r="X118" s="10" t="s">
        <v>86</v>
      </c>
      <c r="Y118" s="10"/>
      <c r="Z118" s="10"/>
      <c r="AA118" s="10"/>
      <c r="AB118" s="22">
        <f>_xlfn.XLOOKUP(TIDP[[#This Row],[ACTIVITY ID]],Baseline[Activity Code],Baseline[Finish],"",0)</f>
        <v>46378</v>
      </c>
      <c r="AC118" s="10"/>
      <c r="AD118" s="10"/>
      <c r="AE118" s="10"/>
      <c r="AF118" s="10"/>
      <c r="AG118" s="10"/>
      <c r="AH118" s="11"/>
    </row>
    <row r="119" spans="1:34" x14ac:dyDescent="0.25">
      <c r="A119" s="43" t="str">
        <f t="shared" si="7"/>
        <v>QF01012-NES-C04518-SDW-CIV-08-PARK01-3FL0508</v>
      </c>
      <c r="B119" s="8" t="s">
        <v>274</v>
      </c>
      <c r="C119" s="8" t="s">
        <v>69</v>
      </c>
      <c r="D119" s="8" t="s">
        <v>70</v>
      </c>
      <c r="E119" s="8" t="s">
        <v>71</v>
      </c>
      <c r="F119" s="9" t="s">
        <v>72</v>
      </c>
      <c r="G119" s="9" t="s">
        <v>144</v>
      </c>
      <c r="H119" s="25">
        <v>46288</v>
      </c>
      <c r="I119" s="25" t="s">
        <v>256</v>
      </c>
      <c r="J119" s="9" t="s">
        <v>257</v>
      </c>
      <c r="K119" s="9"/>
      <c r="L119" s="9" t="s">
        <v>76</v>
      </c>
      <c r="M119" s="9" t="s">
        <v>77</v>
      </c>
      <c r="N119" s="9" t="s">
        <v>78</v>
      </c>
      <c r="O119" s="9" t="s">
        <v>79</v>
      </c>
      <c r="P119" s="9" t="s">
        <v>80</v>
      </c>
      <c r="Q119" s="9" t="s">
        <v>170</v>
      </c>
      <c r="R119" s="9" t="s">
        <v>258</v>
      </c>
      <c r="S119" s="9" t="s">
        <v>88</v>
      </c>
      <c r="T119" s="9" t="s">
        <v>84</v>
      </c>
      <c r="U119" s="9" t="s">
        <v>171</v>
      </c>
      <c r="V119" s="24" t="str">
        <f t="shared" si="6"/>
        <v>Infrastructure</v>
      </c>
      <c r="W119" s="10" t="s">
        <v>6</v>
      </c>
      <c r="X119" s="10" t="s">
        <v>86</v>
      </c>
      <c r="Y119" s="10"/>
      <c r="Z119" s="10"/>
      <c r="AA119" s="10"/>
      <c r="AB119" s="22">
        <f>_xlfn.XLOOKUP(TIDP[[#This Row],[ACTIVITY ID]],Baseline[Activity Code],Baseline[Finish],"",0)</f>
        <v>46378</v>
      </c>
      <c r="AC119" s="10"/>
      <c r="AD119" s="10"/>
      <c r="AE119" s="10"/>
      <c r="AF119" s="10"/>
      <c r="AG119" s="10"/>
      <c r="AH119" s="11"/>
    </row>
    <row r="120" spans="1:34" x14ac:dyDescent="0.25">
      <c r="A120" s="43" t="str">
        <f t="shared" si="7"/>
        <v>QF01012-NES-C04518-SDW-CIV-09-PARK01-3FL0509</v>
      </c>
      <c r="B120" s="8" t="s">
        <v>275</v>
      </c>
      <c r="C120" s="8" t="s">
        <v>69</v>
      </c>
      <c r="D120" s="8" t="s">
        <v>70</v>
      </c>
      <c r="E120" s="8" t="s">
        <v>71</v>
      </c>
      <c r="F120" s="9" t="s">
        <v>72</v>
      </c>
      <c r="G120" s="9" t="s">
        <v>144</v>
      </c>
      <c r="H120" s="25">
        <v>46288</v>
      </c>
      <c r="I120" s="25" t="s">
        <v>256</v>
      </c>
      <c r="J120" s="9" t="s">
        <v>257</v>
      </c>
      <c r="K120" s="9"/>
      <c r="L120" s="9" t="s">
        <v>76</v>
      </c>
      <c r="M120" s="9" t="s">
        <v>77</v>
      </c>
      <c r="N120" s="9" t="s">
        <v>78</v>
      </c>
      <c r="O120" s="9" t="s">
        <v>79</v>
      </c>
      <c r="P120" s="9" t="s">
        <v>80</v>
      </c>
      <c r="Q120" s="9" t="s">
        <v>173</v>
      </c>
      <c r="R120" s="9" t="s">
        <v>258</v>
      </c>
      <c r="S120" s="9" t="s">
        <v>88</v>
      </c>
      <c r="T120" s="9" t="s">
        <v>84</v>
      </c>
      <c r="U120" s="9" t="s">
        <v>174</v>
      </c>
      <c r="V120" s="24" t="str">
        <f t="shared" si="6"/>
        <v>Infrastructure</v>
      </c>
      <c r="W120" s="10" t="s">
        <v>6</v>
      </c>
      <c r="X120" s="10" t="s">
        <v>86</v>
      </c>
      <c r="Y120" s="10"/>
      <c r="Z120" s="10"/>
      <c r="AA120" s="10"/>
      <c r="AB120" s="22">
        <f>_xlfn.XLOOKUP(TIDP[[#This Row],[ACTIVITY ID]],Baseline[Activity Code],Baseline[Finish],"",0)</f>
        <v>46378</v>
      </c>
      <c r="AC120" s="10"/>
      <c r="AD120" s="10"/>
      <c r="AE120" s="10"/>
      <c r="AF120" s="10"/>
      <c r="AG120" s="10"/>
      <c r="AH120" s="11"/>
    </row>
    <row r="121" spans="1:34" x14ac:dyDescent="0.25">
      <c r="A121" s="43" t="str">
        <f t="shared" si="7"/>
        <v>QF01012-NES-C04518-SDW-CIV-10-PARK01-3FL0510</v>
      </c>
      <c r="B121" s="8" t="s">
        <v>276</v>
      </c>
      <c r="C121" s="8" t="s">
        <v>69</v>
      </c>
      <c r="D121" s="8" t="s">
        <v>70</v>
      </c>
      <c r="E121" s="8" t="s">
        <v>71</v>
      </c>
      <c r="F121" s="9" t="s">
        <v>72</v>
      </c>
      <c r="G121" s="9" t="s">
        <v>144</v>
      </c>
      <c r="H121" s="25">
        <v>46288</v>
      </c>
      <c r="I121" s="25" t="s">
        <v>256</v>
      </c>
      <c r="J121" s="9" t="s">
        <v>257</v>
      </c>
      <c r="K121" s="9"/>
      <c r="L121" s="9" t="s">
        <v>76</v>
      </c>
      <c r="M121" s="9" t="s">
        <v>77</v>
      </c>
      <c r="N121" s="9" t="s">
        <v>78</v>
      </c>
      <c r="O121" s="9" t="s">
        <v>79</v>
      </c>
      <c r="P121" s="9" t="s">
        <v>80</v>
      </c>
      <c r="Q121" s="9" t="s">
        <v>176</v>
      </c>
      <c r="R121" s="9" t="s">
        <v>258</v>
      </c>
      <c r="S121" s="9" t="s">
        <v>88</v>
      </c>
      <c r="T121" s="9" t="s">
        <v>84</v>
      </c>
      <c r="U121" s="9" t="s">
        <v>177</v>
      </c>
      <c r="V121" s="24" t="str">
        <f t="shared" si="6"/>
        <v>Infrastructure</v>
      </c>
      <c r="W121" s="10" t="s">
        <v>6</v>
      </c>
      <c r="X121" s="10" t="s">
        <v>86</v>
      </c>
      <c r="Y121" s="10"/>
      <c r="Z121" s="10"/>
      <c r="AA121" s="10"/>
      <c r="AB121" s="22">
        <f>_xlfn.XLOOKUP(TIDP[[#This Row],[ACTIVITY ID]],Baseline[Activity Code],Baseline[Finish],"",0)</f>
        <v>46378</v>
      </c>
      <c r="AC121" s="10"/>
      <c r="AD121" s="10"/>
      <c r="AE121" s="10"/>
      <c r="AF121" s="10"/>
      <c r="AG121" s="10"/>
      <c r="AH121" s="11"/>
    </row>
    <row r="122" spans="1:34" x14ac:dyDescent="0.25">
      <c r="A122" s="43" t="str">
        <f t="shared" si="7"/>
        <v>QF01012-NES-C04518-SDW-CIV-11-PARK01-3FL0511</v>
      </c>
      <c r="B122" s="8" t="s">
        <v>277</v>
      </c>
      <c r="C122" s="8" t="s">
        <v>69</v>
      </c>
      <c r="D122" s="8" t="s">
        <v>70</v>
      </c>
      <c r="E122" s="8" t="s">
        <v>71</v>
      </c>
      <c r="F122" s="9" t="s">
        <v>72</v>
      </c>
      <c r="G122" s="9" t="s">
        <v>144</v>
      </c>
      <c r="H122" s="25">
        <v>46288</v>
      </c>
      <c r="I122" s="25" t="s">
        <v>256</v>
      </c>
      <c r="J122" s="9" t="s">
        <v>257</v>
      </c>
      <c r="K122" s="9"/>
      <c r="L122" s="9" t="s">
        <v>76</v>
      </c>
      <c r="M122" s="9" t="s">
        <v>77</v>
      </c>
      <c r="N122" s="9" t="s">
        <v>78</v>
      </c>
      <c r="O122" s="9" t="s">
        <v>79</v>
      </c>
      <c r="P122" s="9" t="s">
        <v>80</v>
      </c>
      <c r="Q122" s="9" t="s">
        <v>179</v>
      </c>
      <c r="R122" s="9" t="s">
        <v>258</v>
      </c>
      <c r="S122" s="9" t="s">
        <v>88</v>
      </c>
      <c r="T122" s="9" t="s">
        <v>84</v>
      </c>
      <c r="U122" s="9" t="s">
        <v>180</v>
      </c>
      <c r="V122" s="24" t="str">
        <f t="shared" si="6"/>
        <v>Infrastructure</v>
      </c>
      <c r="W122" s="10" t="s">
        <v>6</v>
      </c>
      <c r="X122" s="10" t="s">
        <v>86</v>
      </c>
      <c r="Y122" s="10"/>
      <c r="Z122" s="10"/>
      <c r="AA122" s="10"/>
      <c r="AB122" s="22">
        <f>_xlfn.XLOOKUP(TIDP[[#This Row],[ACTIVITY ID]],Baseline[Activity Code],Baseline[Finish],"",0)</f>
        <v>46378</v>
      </c>
      <c r="AC122" s="10"/>
      <c r="AD122" s="10"/>
      <c r="AE122" s="10"/>
      <c r="AF122" s="10"/>
      <c r="AG122" s="10"/>
      <c r="AH122" s="11"/>
    </row>
    <row r="123" spans="1:34" x14ac:dyDescent="0.25">
      <c r="A123" s="43" t="str">
        <f t="shared" si="7"/>
        <v>QF01012-NES-C04518-SDW-CIV-12-PARK01-3FL0512</v>
      </c>
      <c r="B123" s="8" t="s">
        <v>278</v>
      </c>
      <c r="C123" s="8" t="s">
        <v>69</v>
      </c>
      <c r="D123" s="8" t="s">
        <v>70</v>
      </c>
      <c r="E123" s="8" t="s">
        <v>71</v>
      </c>
      <c r="F123" s="9" t="s">
        <v>72</v>
      </c>
      <c r="G123" s="9" t="s">
        <v>144</v>
      </c>
      <c r="H123" s="25">
        <v>46288</v>
      </c>
      <c r="I123" s="25" t="s">
        <v>256</v>
      </c>
      <c r="J123" s="9" t="s">
        <v>257</v>
      </c>
      <c r="K123" s="9"/>
      <c r="L123" s="9" t="s">
        <v>76</v>
      </c>
      <c r="M123" s="9" t="s">
        <v>77</v>
      </c>
      <c r="N123" s="9" t="s">
        <v>78</v>
      </c>
      <c r="O123" s="9" t="s">
        <v>79</v>
      </c>
      <c r="P123" s="9" t="s">
        <v>80</v>
      </c>
      <c r="Q123" s="9" t="s">
        <v>182</v>
      </c>
      <c r="R123" s="9" t="s">
        <v>258</v>
      </c>
      <c r="S123" s="9" t="s">
        <v>88</v>
      </c>
      <c r="T123" s="9" t="s">
        <v>84</v>
      </c>
      <c r="U123" s="9" t="s">
        <v>183</v>
      </c>
      <c r="V123" s="24" t="str">
        <f t="shared" si="6"/>
        <v>Infrastructure</v>
      </c>
      <c r="W123" s="10" t="s">
        <v>6</v>
      </c>
      <c r="X123" s="10" t="s">
        <v>86</v>
      </c>
      <c r="Y123" s="10"/>
      <c r="Z123" s="10"/>
      <c r="AA123" s="10"/>
      <c r="AB123" s="22">
        <f>_xlfn.XLOOKUP(TIDP[[#This Row],[ACTIVITY ID]],Baseline[Activity Code],Baseline[Finish],"",0)</f>
        <v>46378</v>
      </c>
      <c r="AC123" s="10"/>
      <c r="AD123" s="10"/>
      <c r="AE123" s="10"/>
      <c r="AF123" s="10"/>
      <c r="AG123" s="10"/>
      <c r="AH123" s="11"/>
    </row>
    <row r="124" spans="1:34" x14ac:dyDescent="0.25">
      <c r="A124" s="43" t="str">
        <f t="shared" si="7"/>
        <v>QF01012-NES-C04518-SDW-CIV-13-PARK01-3FL0513</v>
      </c>
      <c r="B124" s="8" t="s">
        <v>279</v>
      </c>
      <c r="C124" s="8" t="s">
        <v>69</v>
      </c>
      <c r="D124" s="8" t="s">
        <v>70</v>
      </c>
      <c r="E124" s="8" t="s">
        <v>71</v>
      </c>
      <c r="F124" s="9" t="s">
        <v>72</v>
      </c>
      <c r="G124" s="9" t="s">
        <v>144</v>
      </c>
      <c r="H124" s="25">
        <v>46288</v>
      </c>
      <c r="I124" s="25" t="s">
        <v>256</v>
      </c>
      <c r="J124" s="9" t="s">
        <v>257</v>
      </c>
      <c r="K124" s="9"/>
      <c r="L124" s="9" t="s">
        <v>76</v>
      </c>
      <c r="M124" s="9" t="s">
        <v>77</v>
      </c>
      <c r="N124" s="9" t="s">
        <v>78</v>
      </c>
      <c r="O124" s="9" t="s">
        <v>79</v>
      </c>
      <c r="P124" s="9" t="s">
        <v>80</v>
      </c>
      <c r="Q124" s="9" t="s">
        <v>210</v>
      </c>
      <c r="R124" s="9" t="s">
        <v>258</v>
      </c>
      <c r="S124" s="9" t="s">
        <v>88</v>
      </c>
      <c r="T124" s="9" t="s">
        <v>84</v>
      </c>
      <c r="U124" s="9" t="s">
        <v>280</v>
      </c>
      <c r="V124" s="24" t="str">
        <f t="shared" si="6"/>
        <v>Infrastructure</v>
      </c>
      <c r="W124" s="10" t="s">
        <v>6</v>
      </c>
      <c r="X124" s="10" t="s">
        <v>86</v>
      </c>
      <c r="Y124" s="10"/>
      <c r="Z124" s="10"/>
      <c r="AA124" s="10"/>
      <c r="AB124" s="22">
        <f>_xlfn.XLOOKUP(TIDP[[#This Row],[ACTIVITY ID]],Baseline[Activity Code],Baseline[Finish],"",0)</f>
        <v>46378</v>
      </c>
      <c r="AC124" s="10"/>
      <c r="AD124" s="10"/>
      <c r="AE124" s="10"/>
      <c r="AF124" s="10"/>
      <c r="AG124" s="10"/>
      <c r="AH124" s="11"/>
    </row>
    <row r="125" spans="1:34" x14ac:dyDescent="0.25">
      <c r="A125" s="43" t="str">
        <f t="shared" si="7"/>
        <v>QF01012-NES-C04518-SDW-CIV-14-PARK01-3FL0514</v>
      </c>
      <c r="B125" s="8" t="s">
        <v>281</v>
      </c>
      <c r="C125" s="8" t="s">
        <v>69</v>
      </c>
      <c r="D125" s="8" t="s">
        <v>70</v>
      </c>
      <c r="E125" s="8" t="s">
        <v>71</v>
      </c>
      <c r="F125" s="9" t="s">
        <v>72</v>
      </c>
      <c r="G125" s="9" t="s">
        <v>144</v>
      </c>
      <c r="H125" s="25">
        <v>46288</v>
      </c>
      <c r="I125" s="25" t="s">
        <v>256</v>
      </c>
      <c r="J125" s="9" t="s">
        <v>257</v>
      </c>
      <c r="K125" s="9"/>
      <c r="L125" s="9" t="s">
        <v>76</v>
      </c>
      <c r="M125" s="9" t="s">
        <v>77</v>
      </c>
      <c r="N125" s="9" t="s">
        <v>78</v>
      </c>
      <c r="O125" s="9" t="s">
        <v>79</v>
      </c>
      <c r="P125" s="9" t="s">
        <v>80</v>
      </c>
      <c r="Q125" s="9" t="s">
        <v>214</v>
      </c>
      <c r="R125" s="9" t="s">
        <v>258</v>
      </c>
      <c r="S125" s="9" t="s">
        <v>88</v>
      </c>
      <c r="T125" s="9" t="s">
        <v>84</v>
      </c>
      <c r="U125" s="9" t="s">
        <v>282</v>
      </c>
      <c r="V125" s="24" t="str">
        <f t="shared" si="6"/>
        <v>Infrastructure</v>
      </c>
      <c r="W125" s="10" t="s">
        <v>6</v>
      </c>
      <c r="X125" s="10" t="s">
        <v>86</v>
      </c>
      <c r="Y125" s="10"/>
      <c r="Z125" s="10"/>
      <c r="AA125" s="10"/>
      <c r="AB125" s="22">
        <f>_xlfn.XLOOKUP(TIDP[[#This Row],[ACTIVITY ID]],Baseline[Activity Code],Baseline[Finish],"",0)</f>
        <v>46378</v>
      </c>
      <c r="AC125" s="10"/>
      <c r="AD125" s="10"/>
      <c r="AE125" s="10"/>
      <c r="AF125" s="10"/>
      <c r="AG125" s="10"/>
      <c r="AH125" s="11"/>
    </row>
    <row r="126" spans="1:34" x14ac:dyDescent="0.25">
      <c r="A126" s="43" t="str">
        <f t="shared" si="7"/>
        <v>QF01012-NES-C04518-MOD-CIV-00-Z00000-0000001</v>
      </c>
      <c r="B126" s="8" t="s">
        <v>283</v>
      </c>
      <c r="C126" s="8"/>
      <c r="D126" s="8" t="s">
        <v>70</v>
      </c>
      <c r="E126" s="8" t="s">
        <v>71</v>
      </c>
      <c r="F126" s="9" t="s">
        <v>284</v>
      </c>
      <c r="G126" s="9" t="s">
        <v>285</v>
      </c>
      <c r="H126" s="25">
        <v>46372</v>
      </c>
      <c r="I126" s="25" t="s">
        <v>286</v>
      </c>
      <c r="J126" s="9" t="s">
        <v>239</v>
      </c>
      <c r="K126" s="9"/>
      <c r="L126" s="9" t="s">
        <v>76</v>
      </c>
      <c r="M126" s="9" t="s">
        <v>77</v>
      </c>
      <c r="N126" s="9" t="s">
        <v>78</v>
      </c>
      <c r="O126" s="9" t="s">
        <v>287</v>
      </c>
      <c r="P126" s="9" t="s">
        <v>80</v>
      </c>
      <c r="Q126" s="9" t="s">
        <v>14</v>
      </c>
      <c r="R126" s="9" t="s">
        <v>115</v>
      </c>
      <c r="S126" s="9" t="s">
        <v>288</v>
      </c>
      <c r="T126" s="9" t="s">
        <v>14</v>
      </c>
      <c r="U126" s="9" t="s">
        <v>289</v>
      </c>
      <c r="V126" s="24" t="str">
        <f t="shared" si="6"/>
        <v>Infrastructure</v>
      </c>
      <c r="W126" s="10" t="s">
        <v>6</v>
      </c>
      <c r="X126" s="10" t="s">
        <v>86</v>
      </c>
      <c r="Y126" s="10"/>
      <c r="Z126" s="10"/>
      <c r="AA126" s="10"/>
      <c r="AB126" s="22">
        <f>_xlfn.XLOOKUP(TIDP[[#This Row],[ACTIVITY ID]],Baseline[Activity Code],Baseline[Finish],"",0)</f>
        <v>46621</v>
      </c>
      <c r="AC126" s="10"/>
      <c r="AD126" s="10"/>
      <c r="AE126" s="10"/>
      <c r="AF126" s="10"/>
      <c r="AG126" s="10"/>
      <c r="AH126" s="11"/>
    </row>
    <row r="127" spans="1:34" x14ac:dyDescent="0.25">
      <c r="A127" s="43" t="str">
        <f t="shared" si="7"/>
        <v>QF01012-NES-C04518-SDW-CIV-00-Z00000-2ZZ0000</v>
      </c>
      <c r="B127" s="8" t="s">
        <v>290</v>
      </c>
      <c r="C127" s="8"/>
      <c r="D127" s="8" t="s">
        <v>70</v>
      </c>
      <c r="E127" s="8" t="s">
        <v>71</v>
      </c>
      <c r="F127" s="9" t="s">
        <v>72</v>
      </c>
      <c r="G127" s="9" t="s">
        <v>185</v>
      </c>
      <c r="H127" s="25">
        <v>46372</v>
      </c>
      <c r="I127" s="25" t="s">
        <v>286</v>
      </c>
      <c r="J127" s="9" t="s">
        <v>239</v>
      </c>
      <c r="K127" s="9"/>
      <c r="L127" s="9" t="s">
        <v>76</v>
      </c>
      <c r="M127" s="9" t="s">
        <v>77</v>
      </c>
      <c r="N127" s="9" t="s">
        <v>78</v>
      </c>
      <c r="O127" s="9" t="s">
        <v>79</v>
      </c>
      <c r="P127" s="9" t="s">
        <v>80</v>
      </c>
      <c r="Q127" s="9" t="s">
        <v>14</v>
      </c>
      <c r="R127" s="9" t="s">
        <v>115</v>
      </c>
      <c r="S127" s="9" t="s">
        <v>83</v>
      </c>
      <c r="T127" s="9" t="s">
        <v>117</v>
      </c>
      <c r="U127" s="9" t="s">
        <v>291</v>
      </c>
      <c r="V127" s="24" t="str">
        <f t="shared" si="6"/>
        <v>Infrastructure</v>
      </c>
      <c r="W127" s="10" t="s">
        <v>6</v>
      </c>
      <c r="X127" s="10" t="s">
        <v>86</v>
      </c>
      <c r="Y127" s="10"/>
      <c r="Z127" s="10"/>
      <c r="AA127" s="10"/>
      <c r="AB127" s="22">
        <f>_xlfn.XLOOKUP(TIDP[[#This Row],[ACTIVITY ID]],Baseline[Activity Code],Baseline[Finish],"",0)</f>
        <v>46621</v>
      </c>
      <c r="AC127" s="10"/>
      <c r="AD127" s="10"/>
      <c r="AE127" s="10"/>
      <c r="AF127" s="10"/>
      <c r="AG127" s="10"/>
      <c r="AH127" s="11"/>
    </row>
    <row r="128" spans="1:34" x14ac:dyDescent="0.25">
      <c r="A128" s="43" t="str">
        <f t="shared" si="7"/>
        <v>QF01012-NES-C04518-SDW-CIV-00-Z00000-2ZZ0001</v>
      </c>
      <c r="B128" s="8" t="s">
        <v>292</v>
      </c>
      <c r="C128" s="8"/>
      <c r="D128" s="8" t="s">
        <v>70</v>
      </c>
      <c r="E128" s="8" t="s">
        <v>71</v>
      </c>
      <c r="F128" s="9" t="s">
        <v>72</v>
      </c>
      <c r="G128" s="9" t="s">
        <v>185</v>
      </c>
      <c r="H128" s="25">
        <v>46372</v>
      </c>
      <c r="I128" s="25" t="s">
        <v>286</v>
      </c>
      <c r="J128" s="9" t="s">
        <v>239</v>
      </c>
      <c r="K128" s="9"/>
      <c r="L128" s="9" t="s">
        <v>76</v>
      </c>
      <c r="M128" s="9" t="s">
        <v>77</v>
      </c>
      <c r="N128" s="9" t="s">
        <v>78</v>
      </c>
      <c r="O128" s="9" t="s">
        <v>79</v>
      </c>
      <c r="P128" s="9" t="s">
        <v>80</v>
      </c>
      <c r="Q128" s="9" t="s">
        <v>14</v>
      </c>
      <c r="R128" s="9" t="s">
        <v>115</v>
      </c>
      <c r="S128" s="9" t="s">
        <v>83</v>
      </c>
      <c r="T128" s="9" t="s">
        <v>117</v>
      </c>
      <c r="U128" s="9" t="s">
        <v>289</v>
      </c>
      <c r="V128" s="24" t="str">
        <f t="shared" si="6"/>
        <v>Infrastructure</v>
      </c>
      <c r="W128" s="10" t="s">
        <v>6</v>
      </c>
      <c r="X128" s="10" t="s">
        <v>86</v>
      </c>
      <c r="Y128" s="10"/>
      <c r="Z128" s="10"/>
      <c r="AA128" s="10"/>
      <c r="AB128" s="22">
        <f>_xlfn.XLOOKUP(TIDP[[#This Row],[ACTIVITY ID]],Baseline[Activity Code],Baseline[Finish],"",0)</f>
        <v>46621</v>
      </c>
      <c r="AC128" s="10"/>
      <c r="AD128" s="10"/>
      <c r="AE128" s="10"/>
      <c r="AF128" s="10"/>
      <c r="AG128" s="10"/>
      <c r="AH128" s="11"/>
    </row>
    <row r="129" spans="1:34" x14ac:dyDescent="0.25">
      <c r="A129" s="43" t="str">
        <f t="shared" si="7"/>
        <v>QF01012-NES-C04518-SDW-CIV-01-Z00000-2ZZ0002</v>
      </c>
      <c r="B129" s="8" t="s">
        <v>2653</v>
      </c>
      <c r="C129" s="8"/>
      <c r="D129" s="8" t="s">
        <v>70</v>
      </c>
      <c r="E129" s="8" t="s">
        <v>71</v>
      </c>
      <c r="F129" s="9" t="s">
        <v>72</v>
      </c>
      <c r="G129" s="9" t="s">
        <v>73</v>
      </c>
      <c r="H129" s="25">
        <v>46372</v>
      </c>
      <c r="I129" s="25" t="s">
        <v>286</v>
      </c>
      <c r="J129" s="9" t="s">
        <v>239</v>
      </c>
      <c r="K129" s="9"/>
      <c r="L129" s="9" t="s">
        <v>76</v>
      </c>
      <c r="M129" s="9" t="s">
        <v>77</v>
      </c>
      <c r="N129" s="9" t="s">
        <v>78</v>
      </c>
      <c r="O129" s="9" t="s">
        <v>79</v>
      </c>
      <c r="P129" s="9" t="s">
        <v>80</v>
      </c>
      <c r="Q129" s="9" t="s">
        <v>81</v>
      </c>
      <c r="R129" s="9" t="s">
        <v>115</v>
      </c>
      <c r="S129" s="9" t="s">
        <v>83</v>
      </c>
      <c r="T129" s="9" t="s">
        <v>117</v>
      </c>
      <c r="U129" s="9" t="s">
        <v>293</v>
      </c>
      <c r="V129" s="24" t="str">
        <f t="shared" si="6"/>
        <v>Infrastructure</v>
      </c>
      <c r="W129" s="10" t="s">
        <v>6</v>
      </c>
      <c r="X129" s="10" t="s">
        <v>86</v>
      </c>
      <c r="Y129" s="10"/>
      <c r="Z129" s="10"/>
      <c r="AA129" s="10"/>
      <c r="AB129" s="22">
        <f>_xlfn.XLOOKUP(TIDP[[#This Row],[ACTIVITY ID]],Baseline[Activity Code],Baseline[Finish],"",0)</f>
        <v>46621</v>
      </c>
      <c r="AC129" s="10"/>
      <c r="AD129" s="10"/>
      <c r="AE129" s="10"/>
      <c r="AF129" s="10"/>
      <c r="AG129" s="10"/>
      <c r="AH129" s="11"/>
    </row>
    <row r="130" spans="1:34" x14ac:dyDescent="0.25">
      <c r="A130" s="43" t="str">
        <f t="shared" si="7"/>
        <v>QF01012-NES-C04518-SDW-CIV-02-Z00000-2ZZ0003</v>
      </c>
      <c r="B130" s="8" t="s">
        <v>2654</v>
      </c>
      <c r="C130" s="8"/>
      <c r="D130" s="8" t="s">
        <v>70</v>
      </c>
      <c r="E130" s="8" t="s">
        <v>71</v>
      </c>
      <c r="F130" s="9" t="s">
        <v>72</v>
      </c>
      <c r="G130" s="9" t="s">
        <v>73</v>
      </c>
      <c r="H130" s="25">
        <v>46372</v>
      </c>
      <c r="I130" s="25" t="s">
        <v>286</v>
      </c>
      <c r="J130" s="9" t="s">
        <v>239</v>
      </c>
      <c r="K130" s="9"/>
      <c r="L130" s="9" t="s">
        <v>76</v>
      </c>
      <c r="M130" s="9" t="s">
        <v>77</v>
      </c>
      <c r="N130" s="9" t="s">
        <v>78</v>
      </c>
      <c r="O130" s="9" t="s">
        <v>79</v>
      </c>
      <c r="P130" s="9" t="s">
        <v>80</v>
      </c>
      <c r="Q130" s="9" t="s">
        <v>91</v>
      </c>
      <c r="R130" s="9" t="s">
        <v>115</v>
      </c>
      <c r="S130" s="9" t="s">
        <v>83</v>
      </c>
      <c r="T130" s="9" t="s">
        <v>117</v>
      </c>
      <c r="U130" s="9" t="s">
        <v>294</v>
      </c>
      <c r="V130" s="24" t="str">
        <f t="shared" si="6"/>
        <v>Infrastructure</v>
      </c>
      <c r="W130" s="10" t="s">
        <v>6</v>
      </c>
      <c r="X130" s="10" t="s">
        <v>86</v>
      </c>
      <c r="Y130" s="10"/>
      <c r="Z130" s="10"/>
      <c r="AA130" s="10"/>
      <c r="AB130" s="22">
        <f>_xlfn.XLOOKUP(TIDP[[#This Row],[ACTIVITY ID]],Baseline[Activity Code],Baseline[Finish],"",0)</f>
        <v>46621</v>
      </c>
      <c r="AC130" s="10"/>
      <c r="AD130" s="10"/>
      <c r="AE130" s="10"/>
      <c r="AF130" s="10"/>
      <c r="AG130" s="10"/>
      <c r="AH130" s="11"/>
    </row>
    <row r="131" spans="1:34" x14ac:dyDescent="0.25">
      <c r="A131" s="43" t="str">
        <f t="shared" si="7"/>
        <v>QF01012-NES-C04518-SDW-CIV-03-Z00000-2ZZ0004</v>
      </c>
      <c r="B131" s="8" t="s">
        <v>2655</v>
      </c>
      <c r="C131" s="8"/>
      <c r="D131" s="8" t="s">
        <v>70</v>
      </c>
      <c r="E131" s="8" t="s">
        <v>71</v>
      </c>
      <c r="F131" s="9" t="s">
        <v>72</v>
      </c>
      <c r="G131" s="9" t="s">
        <v>73</v>
      </c>
      <c r="H131" s="25">
        <v>46372</v>
      </c>
      <c r="I131" s="25" t="s">
        <v>286</v>
      </c>
      <c r="J131" s="9" t="s">
        <v>239</v>
      </c>
      <c r="K131" s="9"/>
      <c r="L131" s="9" t="s">
        <v>76</v>
      </c>
      <c r="M131" s="9" t="s">
        <v>77</v>
      </c>
      <c r="N131" s="9" t="s">
        <v>78</v>
      </c>
      <c r="O131" s="9" t="s">
        <v>79</v>
      </c>
      <c r="P131" s="9" t="s">
        <v>80</v>
      </c>
      <c r="Q131" s="9" t="s">
        <v>94</v>
      </c>
      <c r="R131" s="9" t="s">
        <v>115</v>
      </c>
      <c r="S131" s="9" t="s">
        <v>83</v>
      </c>
      <c r="T131" s="9" t="s">
        <v>117</v>
      </c>
      <c r="U131" s="9" t="s">
        <v>295</v>
      </c>
      <c r="V131" s="24" t="str">
        <f t="shared" si="6"/>
        <v>Infrastructure</v>
      </c>
      <c r="W131" s="10" t="s">
        <v>6</v>
      </c>
      <c r="X131" s="10" t="s">
        <v>86</v>
      </c>
      <c r="Y131" s="10"/>
      <c r="Z131" s="10"/>
      <c r="AA131" s="10"/>
      <c r="AB131" s="22">
        <f>_xlfn.XLOOKUP(TIDP[[#This Row],[ACTIVITY ID]],Baseline[Activity Code],Baseline[Finish],"",0)</f>
        <v>46621</v>
      </c>
      <c r="AC131" s="10"/>
      <c r="AD131" s="10"/>
      <c r="AE131" s="10"/>
      <c r="AF131" s="10"/>
      <c r="AG131" s="10"/>
      <c r="AH131" s="11"/>
    </row>
    <row r="132" spans="1:34" x14ac:dyDescent="0.25">
      <c r="A132" s="43" t="str">
        <f t="shared" si="7"/>
        <v>QF01012-NES-C04518-SDW-CIV-04-Z00000-2ZZ0005</v>
      </c>
      <c r="B132" s="8" t="s">
        <v>2656</v>
      </c>
      <c r="C132" s="8"/>
      <c r="D132" s="8" t="s">
        <v>70</v>
      </c>
      <c r="E132" s="8" t="s">
        <v>71</v>
      </c>
      <c r="F132" s="9" t="s">
        <v>72</v>
      </c>
      <c r="G132" s="9" t="s">
        <v>73</v>
      </c>
      <c r="H132" s="25">
        <v>46372</v>
      </c>
      <c r="I132" s="25" t="s">
        <v>286</v>
      </c>
      <c r="J132" s="9" t="s">
        <v>239</v>
      </c>
      <c r="K132" s="9"/>
      <c r="L132" s="9" t="s">
        <v>76</v>
      </c>
      <c r="M132" s="9" t="s">
        <v>77</v>
      </c>
      <c r="N132" s="9" t="s">
        <v>78</v>
      </c>
      <c r="O132" s="9" t="s">
        <v>79</v>
      </c>
      <c r="P132" s="9" t="s">
        <v>80</v>
      </c>
      <c r="Q132" s="9" t="s">
        <v>97</v>
      </c>
      <c r="R132" s="9" t="s">
        <v>115</v>
      </c>
      <c r="S132" s="9" t="s">
        <v>83</v>
      </c>
      <c r="T132" s="9" t="s">
        <v>117</v>
      </c>
      <c r="U132" s="9" t="s">
        <v>296</v>
      </c>
      <c r="V132" s="24" t="str">
        <f t="shared" si="6"/>
        <v>Infrastructure</v>
      </c>
      <c r="W132" s="10" t="s">
        <v>6</v>
      </c>
      <c r="X132" s="10" t="s">
        <v>86</v>
      </c>
      <c r="Y132" s="10"/>
      <c r="Z132" s="10"/>
      <c r="AA132" s="10"/>
      <c r="AB132" s="22">
        <f>_xlfn.XLOOKUP(TIDP[[#This Row],[ACTIVITY ID]],Baseline[Activity Code],Baseline[Finish],"",0)</f>
        <v>46621</v>
      </c>
      <c r="AC132" s="10"/>
      <c r="AD132" s="10"/>
      <c r="AE132" s="10"/>
      <c r="AF132" s="10"/>
      <c r="AG132" s="10"/>
      <c r="AH132" s="11"/>
    </row>
    <row r="133" spans="1:34" x14ac:dyDescent="0.25">
      <c r="A133" s="43" t="str">
        <f t="shared" si="7"/>
        <v>QF01012-NES-C04518-SDW-CIV-05-Z00000-2ZZ0006</v>
      </c>
      <c r="B133" s="8" t="s">
        <v>2657</v>
      </c>
      <c r="C133" s="8"/>
      <c r="D133" s="8" t="s">
        <v>70</v>
      </c>
      <c r="E133" s="8" t="s">
        <v>71</v>
      </c>
      <c r="F133" s="9" t="s">
        <v>72</v>
      </c>
      <c r="G133" s="9" t="s">
        <v>73</v>
      </c>
      <c r="H133" s="25">
        <v>46372</v>
      </c>
      <c r="I133" s="25" t="s">
        <v>286</v>
      </c>
      <c r="J133" s="9" t="s">
        <v>239</v>
      </c>
      <c r="K133" s="9"/>
      <c r="L133" s="9" t="s">
        <v>76</v>
      </c>
      <c r="M133" s="9" t="s">
        <v>77</v>
      </c>
      <c r="N133" s="9" t="s">
        <v>78</v>
      </c>
      <c r="O133" s="9" t="s">
        <v>79</v>
      </c>
      <c r="P133" s="9" t="s">
        <v>80</v>
      </c>
      <c r="Q133" s="9" t="s">
        <v>152</v>
      </c>
      <c r="R133" s="9" t="s">
        <v>115</v>
      </c>
      <c r="S133" s="9" t="s">
        <v>83</v>
      </c>
      <c r="T133" s="9" t="s">
        <v>117</v>
      </c>
      <c r="U133" s="9" t="s">
        <v>297</v>
      </c>
      <c r="V133" s="24" t="str">
        <f t="shared" ref="V133:V162" si="8">IF($B$6="","",$B$6)</f>
        <v>Infrastructure</v>
      </c>
      <c r="W133" s="10" t="s">
        <v>6</v>
      </c>
      <c r="X133" s="10" t="s">
        <v>86</v>
      </c>
      <c r="Y133" s="10"/>
      <c r="Z133" s="10"/>
      <c r="AA133" s="10"/>
      <c r="AB133" s="22">
        <f>_xlfn.XLOOKUP(TIDP[[#This Row],[ACTIVITY ID]],Baseline[Activity Code],Baseline[Finish],"",0)</f>
        <v>46621</v>
      </c>
      <c r="AC133" s="10"/>
      <c r="AD133" s="10"/>
      <c r="AE133" s="10"/>
      <c r="AF133" s="10"/>
      <c r="AG133" s="10"/>
      <c r="AH133" s="11"/>
    </row>
    <row r="134" spans="1:34" x14ac:dyDescent="0.25">
      <c r="A134" s="43" t="str">
        <f t="shared" si="7"/>
        <v>QF01012-NES-C04518-SDW-CIV-06-Z00000-2ZZ0007</v>
      </c>
      <c r="B134" s="8" t="s">
        <v>2658</v>
      </c>
      <c r="C134" s="8"/>
      <c r="D134" s="8" t="s">
        <v>70</v>
      </c>
      <c r="E134" s="8" t="s">
        <v>71</v>
      </c>
      <c r="F134" s="9" t="s">
        <v>72</v>
      </c>
      <c r="G134" s="9" t="s">
        <v>73</v>
      </c>
      <c r="H134" s="25">
        <v>46372</v>
      </c>
      <c r="I134" s="25" t="s">
        <v>286</v>
      </c>
      <c r="J134" s="9" t="s">
        <v>239</v>
      </c>
      <c r="K134" s="9"/>
      <c r="L134" s="9" t="s">
        <v>76</v>
      </c>
      <c r="M134" s="9" t="s">
        <v>77</v>
      </c>
      <c r="N134" s="9" t="s">
        <v>78</v>
      </c>
      <c r="O134" s="9" t="s">
        <v>79</v>
      </c>
      <c r="P134" s="9" t="s">
        <v>80</v>
      </c>
      <c r="Q134" s="9" t="s">
        <v>155</v>
      </c>
      <c r="R134" s="9" t="s">
        <v>115</v>
      </c>
      <c r="S134" s="9" t="s">
        <v>83</v>
      </c>
      <c r="T134" s="9" t="s">
        <v>117</v>
      </c>
      <c r="U134" s="9" t="s">
        <v>298</v>
      </c>
      <c r="V134" s="24" t="str">
        <f t="shared" si="8"/>
        <v>Infrastructure</v>
      </c>
      <c r="W134" s="10" t="s">
        <v>6</v>
      </c>
      <c r="X134" s="10" t="s">
        <v>86</v>
      </c>
      <c r="Y134" s="10"/>
      <c r="Z134" s="10"/>
      <c r="AA134" s="10"/>
      <c r="AB134" s="22">
        <f>_xlfn.XLOOKUP(TIDP[[#This Row],[ACTIVITY ID]],Baseline[Activity Code],Baseline[Finish],"",0)</f>
        <v>46621</v>
      </c>
      <c r="AC134" s="10"/>
      <c r="AD134" s="10"/>
      <c r="AE134" s="10"/>
      <c r="AF134" s="10"/>
      <c r="AG134" s="10"/>
      <c r="AH134" s="11"/>
    </row>
    <row r="135" spans="1:34" x14ac:dyDescent="0.25">
      <c r="A135" s="43" t="str">
        <f t="shared" si="7"/>
        <v>QF01012-NES-C04518-SDW-CIV-07-Z00000-2ZZ0008</v>
      </c>
      <c r="B135" s="8" t="s">
        <v>2659</v>
      </c>
      <c r="C135" s="8"/>
      <c r="D135" s="8" t="s">
        <v>70</v>
      </c>
      <c r="E135" s="8" t="s">
        <v>71</v>
      </c>
      <c r="F135" s="9" t="s">
        <v>72</v>
      </c>
      <c r="G135" s="9" t="s">
        <v>73</v>
      </c>
      <c r="H135" s="25">
        <v>46372</v>
      </c>
      <c r="I135" s="25" t="s">
        <v>286</v>
      </c>
      <c r="J135" s="9" t="s">
        <v>239</v>
      </c>
      <c r="K135" s="9"/>
      <c r="L135" s="9" t="s">
        <v>76</v>
      </c>
      <c r="M135" s="9" t="s">
        <v>77</v>
      </c>
      <c r="N135" s="9" t="s">
        <v>78</v>
      </c>
      <c r="O135" s="9" t="s">
        <v>79</v>
      </c>
      <c r="P135" s="9" t="s">
        <v>80</v>
      </c>
      <c r="Q135" s="9" t="s">
        <v>167</v>
      </c>
      <c r="R135" s="9" t="s">
        <v>115</v>
      </c>
      <c r="S135" s="9" t="s">
        <v>83</v>
      </c>
      <c r="T135" s="9" t="s">
        <v>117</v>
      </c>
      <c r="U135" s="9" t="s">
        <v>299</v>
      </c>
      <c r="V135" s="24" t="str">
        <f t="shared" si="8"/>
        <v>Infrastructure</v>
      </c>
      <c r="W135" s="10" t="s">
        <v>6</v>
      </c>
      <c r="X135" s="10" t="s">
        <v>86</v>
      </c>
      <c r="Y135" s="10"/>
      <c r="Z135" s="10"/>
      <c r="AA135" s="10"/>
      <c r="AB135" s="22">
        <f>_xlfn.XLOOKUP(TIDP[[#This Row],[ACTIVITY ID]],Baseline[Activity Code],Baseline[Finish],"",0)</f>
        <v>46621</v>
      </c>
      <c r="AC135" s="10"/>
      <c r="AD135" s="10"/>
      <c r="AE135" s="10"/>
      <c r="AF135" s="10"/>
      <c r="AG135" s="10"/>
      <c r="AH135" s="11"/>
    </row>
    <row r="136" spans="1:34" x14ac:dyDescent="0.25">
      <c r="A136" s="43" t="str">
        <f t="shared" si="7"/>
        <v>QF01012-NES-C04518-SDW-CIV-08-Z00000-2ZZ0009</v>
      </c>
      <c r="B136" s="8" t="s">
        <v>2660</v>
      </c>
      <c r="C136" s="8"/>
      <c r="D136" s="8" t="s">
        <v>70</v>
      </c>
      <c r="E136" s="8" t="s">
        <v>71</v>
      </c>
      <c r="F136" s="9" t="s">
        <v>72</v>
      </c>
      <c r="G136" s="9" t="s">
        <v>73</v>
      </c>
      <c r="H136" s="25">
        <v>46372</v>
      </c>
      <c r="I136" s="25" t="s">
        <v>286</v>
      </c>
      <c r="J136" s="9" t="s">
        <v>239</v>
      </c>
      <c r="K136" s="9"/>
      <c r="L136" s="9" t="s">
        <v>76</v>
      </c>
      <c r="M136" s="9" t="s">
        <v>77</v>
      </c>
      <c r="N136" s="9" t="s">
        <v>78</v>
      </c>
      <c r="O136" s="9" t="s">
        <v>79</v>
      </c>
      <c r="P136" s="9" t="s">
        <v>80</v>
      </c>
      <c r="Q136" s="9" t="s">
        <v>170</v>
      </c>
      <c r="R136" s="9" t="s">
        <v>115</v>
      </c>
      <c r="S136" s="9" t="s">
        <v>83</v>
      </c>
      <c r="T136" s="9" t="s">
        <v>117</v>
      </c>
      <c r="U136" s="9" t="s">
        <v>300</v>
      </c>
      <c r="V136" s="24" t="str">
        <f t="shared" si="8"/>
        <v>Infrastructure</v>
      </c>
      <c r="W136" s="10" t="s">
        <v>6</v>
      </c>
      <c r="X136" s="10" t="s">
        <v>86</v>
      </c>
      <c r="Y136" s="10"/>
      <c r="Z136" s="10"/>
      <c r="AA136" s="10"/>
      <c r="AB136" s="22">
        <f>_xlfn.XLOOKUP(TIDP[[#This Row],[ACTIVITY ID]],Baseline[Activity Code],Baseline[Finish],"",0)</f>
        <v>46621</v>
      </c>
      <c r="AC136" s="10"/>
      <c r="AD136" s="10"/>
      <c r="AE136" s="10"/>
      <c r="AF136" s="10"/>
      <c r="AG136" s="10"/>
      <c r="AH136" s="11"/>
    </row>
    <row r="137" spans="1:34" x14ac:dyDescent="0.25">
      <c r="A137" s="43" t="str">
        <f t="shared" si="7"/>
        <v>QF01012-NES-C04518-SDW-CIV-09-Z00000-2ZZ0010</v>
      </c>
      <c r="B137" s="8" t="s">
        <v>2661</v>
      </c>
      <c r="C137" s="8"/>
      <c r="D137" s="8" t="s">
        <v>70</v>
      </c>
      <c r="E137" s="8" t="s">
        <v>71</v>
      </c>
      <c r="F137" s="9" t="s">
        <v>72</v>
      </c>
      <c r="G137" s="9" t="s">
        <v>73</v>
      </c>
      <c r="H137" s="25">
        <v>46372</v>
      </c>
      <c r="I137" s="25" t="s">
        <v>286</v>
      </c>
      <c r="J137" s="9" t="s">
        <v>239</v>
      </c>
      <c r="K137" s="9"/>
      <c r="L137" s="9" t="s">
        <v>76</v>
      </c>
      <c r="M137" s="9" t="s">
        <v>77</v>
      </c>
      <c r="N137" s="9" t="s">
        <v>78</v>
      </c>
      <c r="O137" s="9" t="s">
        <v>79</v>
      </c>
      <c r="P137" s="9" t="s">
        <v>80</v>
      </c>
      <c r="Q137" s="9" t="s">
        <v>173</v>
      </c>
      <c r="R137" s="9" t="s">
        <v>115</v>
      </c>
      <c r="S137" s="9" t="s">
        <v>83</v>
      </c>
      <c r="T137" s="9" t="s">
        <v>117</v>
      </c>
      <c r="U137" s="9" t="s">
        <v>301</v>
      </c>
      <c r="V137" s="24" t="str">
        <f t="shared" si="8"/>
        <v>Infrastructure</v>
      </c>
      <c r="W137" s="10" t="s">
        <v>6</v>
      </c>
      <c r="X137" s="10" t="s">
        <v>86</v>
      </c>
      <c r="Y137" s="10"/>
      <c r="Z137" s="10"/>
      <c r="AA137" s="10"/>
      <c r="AB137" s="22">
        <f>_xlfn.XLOOKUP(TIDP[[#This Row],[ACTIVITY ID]],Baseline[Activity Code],Baseline[Finish],"",0)</f>
        <v>46621</v>
      </c>
      <c r="AC137" s="10"/>
      <c r="AD137" s="10"/>
      <c r="AE137" s="10"/>
      <c r="AF137" s="10"/>
      <c r="AG137" s="10"/>
      <c r="AH137" s="11"/>
    </row>
    <row r="138" spans="1:34" x14ac:dyDescent="0.25">
      <c r="A138" s="43" t="str">
        <f t="shared" si="7"/>
        <v>QF01012-NES-C04518-SDW-CIV-10-Z00000-2ZZ0011</v>
      </c>
      <c r="B138" s="8" t="s">
        <v>2662</v>
      </c>
      <c r="C138" s="8"/>
      <c r="D138" s="8" t="s">
        <v>70</v>
      </c>
      <c r="E138" s="8" t="s">
        <v>71</v>
      </c>
      <c r="F138" s="9" t="s">
        <v>72</v>
      </c>
      <c r="G138" s="9" t="s">
        <v>73</v>
      </c>
      <c r="H138" s="25">
        <v>46372</v>
      </c>
      <c r="I138" s="25" t="s">
        <v>286</v>
      </c>
      <c r="J138" s="9" t="s">
        <v>239</v>
      </c>
      <c r="K138" s="9"/>
      <c r="L138" s="9" t="s">
        <v>76</v>
      </c>
      <c r="M138" s="9" t="s">
        <v>77</v>
      </c>
      <c r="N138" s="9" t="s">
        <v>78</v>
      </c>
      <c r="O138" s="9" t="s">
        <v>79</v>
      </c>
      <c r="P138" s="9" t="s">
        <v>80</v>
      </c>
      <c r="Q138" s="9" t="s">
        <v>176</v>
      </c>
      <c r="R138" s="9" t="s">
        <v>115</v>
      </c>
      <c r="S138" s="9" t="s">
        <v>83</v>
      </c>
      <c r="T138" s="9" t="s">
        <v>117</v>
      </c>
      <c r="U138" s="9" t="s">
        <v>302</v>
      </c>
      <c r="V138" s="24" t="str">
        <f t="shared" si="8"/>
        <v>Infrastructure</v>
      </c>
      <c r="W138" s="10" t="s">
        <v>6</v>
      </c>
      <c r="X138" s="10" t="s">
        <v>86</v>
      </c>
      <c r="Y138" s="10"/>
      <c r="Z138" s="10"/>
      <c r="AA138" s="10"/>
      <c r="AB138" s="22">
        <f>_xlfn.XLOOKUP(TIDP[[#This Row],[ACTIVITY ID]],Baseline[Activity Code],Baseline[Finish],"",0)</f>
        <v>46621</v>
      </c>
      <c r="AC138" s="10"/>
      <c r="AD138" s="10"/>
      <c r="AE138" s="10"/>
      <c r="AF138" s="10"/>
      <c r="AG138" s="10"/>
      <c r="AH138" s="11"/>
    </row>
    <row r="139" spans="1:34" x14ac:dyDescent="0.25">
      <c r="A139" s="43" t="str">
        <f t="shared" si="7"/>
        <v>QF01012-NES-C04518-SDW-CIV-11-Z00000-2ZZ0012</v>
      </c>
      <c r="B139" s="8" t="s">
        <v>2663</v>
      </c>
      <c r="C139" s="8"/>
      <c r="D139" s="8" t="s">
        <v>70</v>
      </c>
      <c r="E139" s="8" t="s">
        <v>71</v>
      </c>
      <c r="F139" s="9" t="s">
        <v>72</v>
      </c>
      <c r="G139" s="9" t="s">
        <v>73</v>
      </c>
      <c r="H139" s="25">
        <v>46372</v>
      </c>
      <c r="I139" s="25" t="s">
        <v>286</v>
      </c>
      <c r="J139" s="9" t="s">
        <v>239</v>
      </c>
      <c r="K139" s="9"/>
      <c r="L139" s="9" t="s">
        <v>76</v>
      </c>
      <c r="M139" s="9" t="s">
        <v>77</v>
      </c>
      <c r="N139" s="9" t="s">
        <v>78</v>
      </c>
      <c r="O139" s="9" t="s">
        <v>79</v>
      </c>
      <c r="P139" s="9" t="s">
        <v>80</v>
      </c>
      <c r="Q139" s="9" t="s">
        <v>179</v>
      </c>
      <c r="R139" s="9" t="s">
        <v>115</v>
      </c>
      <c r="S139" s="9" t="s">
        <v>83</v>
      </c>
      <c r="T139" s="9" t="s">
        <v>117</v>
      </c>
      <c r="U139" s="9" t="s">
        <v>303</v>
      </c>
      <c r="V139" s="24" t="str">
        <f t="shared" si="8"/>
        <v>Infrastructure</v>
      </c>
      <c r="W139" s="10" t="s">
        <v>6</v>
      </c>
      <c r="X139" s="10" t="s">
        <v>86</v>
      </c>
      <c r="Y139" s="10"/>
      <c r="Z139" s="10"/>
      <c r="AA139" s="10"/>
      <c r="AB139" s="22">
        <f>_xlfn.XLOOKUP(TIDP[[#This Row],[ACTIVITY ID]],Baseline[Activity Code],Baseline[Finish],"",0)</f>
        <v>46621</v>
      </c>
      <c r="AC139" s="10"/>
      <c r="AD139" s="10"/>
      <c r="AE139" s="10"/>
      <c r="AF139" s="10"/>
      <c r="AG139" s="10"/>
      <c r="AH139" s="11"/>
    </row>
    <row r="140" spans="1:34" x14ac:dyDescent="0.25">
      <c r="A140" s="43" t="str">
        <f t="shared" si="7"/>
        <v>QF01012-NES-C04518-SDW-CIV-12-Z00000-2ZZ0013</v>
      </c>
      <c r="B140" s="8" t="s">
        <v>2664</v>
      </c>
      <c r="C140" s="8"/>
      <c r="D140" s="8" t="s">
        <v>70</v>
      </c>
      <c r="E140" s="8" t="s">
        <v>71</v>
      </c>
      <c r="F140" s="9" t="s">
        <v>72</v>
      </c>
      <c r="G140" s="9" t="s">
        <v>73</v>
      </c>
      <c r="H140" s="25">
        <v>46372</v>
      </c>
      <c r="I140" s="25" t="s">
        <v>286</v>
      </c>
      <c r="J140" s="9" t="s">
        <v>239</v>
      </c>
      <c r="K140" s="9"/>
      <c r="L140" s="9" t="s">
        <v>76</v>
      </c>
      <c r="M140" s="9" t="s">
        <v>77</v>
      </c>
      <c r="N140" s="9" t="s">
        <v>78</v>
      </c>
      <c r="O140" s="9" t="s">
        <v>79</v>
      </c>
      <c r="P140" s="9" t="s">
        <v>80</v>
      </c>
      <c r="Q140" s="9" t="s">
        <v>182</v>
      </c>
      <c r="R140" s="9" t="s">
        <v>115</v>
      </c>
      <c r="S140" s="9" t="s">
        <v>83</v>
      </c>
      <c r="T140" s="9" t="s">
        <v>117</v>
      </c>
      <c r="U140" s="9" t="s">
        <v>304</v>
      </c>
      <c r="V140" s="24" t="str">
        <f t="shared" si="8"/>
        <v>Infrastructure</v>
      </c>
      <c r="W140" s="10" t="s">
        <v>6</v>
      </c>
      <c r="X140" s="10" t="s">
        <v>86</v>
      </c>
      <c r="Y140" s="10"/>
      <c r="Z140" s="10"/>
      <c r="AA140" s="10"/>
      <c r="AB140" s="22">
        <f>_xlfn.XLOOKUP(TIDP[[#This Row],[ACTIVITY ID]],Baseline[Activity Code],Baseline[Finish],"",0)</f>
        <v>46621</v>
      </c>
      <c r="AC140" s="10"/>
      <c r="AD140" s="10"/>
      <c r="AE140" s="10"/>
      <c r="AF140" s="10"/>
      <c r="AG140" s="10"/>
      <c r="AH140" s="11"/>
    </row>
    <row r="141" spans="1:34" x14ac:dyDescent="0.25">
      <c r="A141" s="43" t="str">
        <f t="shared" si="7"/>
        <v>QF01012-NES-C04518-SDW-CIV-13-Z00000-2ZZ0014</v>
      </c>
      <c r="B141" s="8" t="s">
        <v>2665</v>
      </c>
      <c r="C141" s="8"/>
      <c r="D141" s="8" t="s">
        <v>70</v>
      </c>
      <c r="E141" s="8" t="s">
        <v>71</v>
      </c>
      <c r="F141" s="9" t="s">
        <v>72</v>
      </c>
      <c r="G141" s="9" t="s">
        <v>73</v>
      </c>
      <c r="H141" s="25">
        <v>46372</v>
      </c>
      <c r="I141" s="25" t="s">
        <v>286</v>
      </c>
      <c r="J141" s="9" t="s">
        <v>239</v>
      </c>
      <c r="K141" s="9"/>
      <c r="L141" s="9" t="s">
        <v>76</v>
      </c>
      <c r="M141" s="9" t="s">
        <v>77</v>
      </c>
      <c r="N141" s="9" t="s">
        <v>78</v>
      </c>
      <c r="O141" s="9" t="s">
        <v>79</v>
      </c>
      <c r="P141" s="9" t="s">
        <v>80</v>
      </c>
      <c r="Q141" s="9" t="s">
        <v>210</v>
      </c>
      <c r="R141" s="9" t="s">
        <v>115</v>
      </c>
      <c r="S141" s="9" t="s">
        <v>83</v>
      </c>
      <c r="T141" s="9" t="s">
        <v>117</v>
      </c>
      <c r="U141" s="9" t="s">
        <v>305</v>
      </c>
      <c r="V141" s="24" t="str">
        <f t="shared" si="8"/>
        <v>Infrastructure</v>
      </c>
      <c r="W141" s="10" t="s">
        <v>6</v>
      </c>
      <c r="X141" s="10" t="s">
        <v>86</v>
      </c>
      <c r="Y141" s="10"/>
      <c r="Z141" s="10"/>
      <c r="AA141" s="10"/>
      <c r="AB141" s="22">
        <f>_xlfn.XLOOKUP(TIDP[[#This Row],[ACTIVITY ID]],Baseline[Activity Code],Baseline[Finish],"",0)</f>
        <v>46621</v>
      </c>
      <c r="AC141" s="10"/>
      <c r="AD141" s="10"/>
      <c r="AE141" s="10"/>
      <c r="AF141" s="10"/>
      <c r="AG141" s="10"/>
      <c r="AH141" s="11"/>
    </row>
    <row r="142" spans="1:34" x14ac:dyDescent="0.25">
      <c r="A142" s="43" t="str">
        <f t="shared" si="7"/>
        <v>QF01012-NES-C04518-SDW-CIV-14-Z00000-2ZZ0015</v>
      </c>
      <c r="B142" s="8" t="s">
        <v>2666</v>
      </c>
      <c r="C142" s="8"/>
      <c r="D142" s="8" t="s">
        <v>70</v>
      </c>
      <c r="E142" s="8" t="s">
        <v>71</v>
      </c>
      <c r="F142" s="9" t="s">
        <v>72</v>
      </c>
      <c r="G142" s="9" t="s">
        <v>73</v>
      </c>
      <c r="H142" s="25">
        <v>46372</v>
      </c>
      <c r="I142" s="25" t="s">
        <v>286</v>
      </c>
      <c r="J142" s="9" t="s">
        <v>239</v>
      </c>
      <c r="K142" s="9"/>
      <c r="L142" s="9" t="s">
        <v>76</v>
      </c>
      <c r="M142" s="9" t="s">
        <v>77</v>
      </c>
      <c r="N142" s="9" t="s">
        <v>78</v>
      </c>
      <c r="O142" s="9" t="s">
        <v>79</v>
      </c>
      <c r="P142" s="9" t="s">
        <v>80</v>
      </c>
      <c r="Q142" s="9" t="s">
        <v>214</v>
      </c>
      <c r="R142" s="9" t="s">
        <v>115</v>
      </c>
      <c r="S142" s="9" t="s">
        <v>83</v>
      </c>
      <c r="T142" s="9" t="s">
        <v>117</v>
      </c>
      <c r="U142" s="9" t="s">
        <v>306</v>
      </c>
      <c r="V142" s="24" t="str">
        <f t="shared" si="8"/>
        <v>Infrastructure</v>
      </c>
      <c r="W142" s="10" t="s">
        <v>6</v>
      </c>
      <c r="X142" s="10" t="s">
        <v>86</v>
      </c>
      <c r="Y142" s="10"/>
      <c r="Z142" s="10"/>
      <c r="AA142" s="10"/>
      <c r="AB142" s="22">
        <f>_xlfn.XLOOKUP(TIDP[[#This Row],[ACTIVITY ID]],Baseline[Activity Code],Baseline[Finish],"",0)</f>
        <v>46621</v>
      </c>
      <c r="AC142" s="10"/>
      <c r="AD142" s="10"/>
      <c r="AE142" s="10"/>
      <c r="AF142" s="10"/>
      <c r="AG142" s="10"/>
      <c r="AH142" s="11"/>
    </row>
    <row r="143" spans="1:34" x14ac:dyDescent="0.25">
      <c r="A143" s="43" t="str">
        <f t="shared" si="7"/>
        <v>QF01012-NES-C04518-SDW-CIV-15-Z00000-2ZZ0016</v>
      </c>
      <c r="B143" s="8" t="s">
        <v>2667</v>
      </c>
      <c r="C143" s="8"/>
      <c r="D143" s="8" t="s">
        <v>70</v>
      </c>
      <c r="E143" s="8" t="s">
        <v>71</v>
      </c>
      <c r="F143" s="9" t="s">
        <v>72</v>
      </c>
      <c r="G143" s="9" t="s">
        <v>73</v>
      </c>
      <c r="H143" s="25">
        <v>46372</v>
      </c>
      <c r="I143" s="25" t="s">
        <v>286</v>
      </c>
      <c r="J143" s="9" t="s">
        <v>239</v>
      </c>
      <c r="K143" s="9"/>
      <c r="L143" s="9" t="s">
        <v>76</v>
      </c>
      <c r="M143" s="9" t="s">
        <v>77</v>
      </c>
      <c r="N143" s="9" t="s">
        <v>78</v>
      </c>
      <c r="O143" s="9" t="s">
        <v>79</v>
      </c>
      <c r="P143" s="9" t="s">
        <v>80</v>
      </c>
      <c r="Q143" s="9" t="s">
        <v>217</v>
      </c>
      <c r="R143" s="9" t="s">
        <v>115</v>
      </c>
      <c r="S143" s="9" t="s">
        <v>83</v>
      </c>
      <c r="T143" s="9" t="s">
        <v>117</v>
      </c>
      <c r="U143" s="9" t="s">
        <v>307</v>
      </c>
      <c r="V143" s="24" t="str">
        <f t="shared" si="8"/>
        <v>Infrastructure</v>
      </c>
      <c r="W143" s="10" t="s">
        <v>6</v>
      </c>
      <c r="X143" s="10" t="s">
        <v>86</v>
      </c>
      <c r="Y143" s="10"/>
      <c r="Z143" s="10"/>
      <c r="AA143" s="10"/>
      <c r="AB143" s="22">
        <f>_xlfn.XLOOKUP(TIDP[[#This Row],[ACTIVITY ID]],Baseline[Activity Code],Baseline[Finish],"",0)</f>
        <v>46621</v>
      </c>
      <c r="AC143" s="10"/>
      <c r="AD143" s="10"/>
      <c r="AE143" s="10"/>
      <c r="AF143" s="10"/>
      <c r="AG143" s="10"/>
      <c r="AH143" s="11"/>
    </row>
    <row r="144" spans="1:34" x14ac:dyDescent="0.25">
      <c r="A144" s="43" t="str">
        <f t="shared" si="7"/>
        <v>QF01012-NES-C04518-SDW-CIV-16-Z00000-2ZZ0017</v>
      </c>
      <c r="B144" s="8" t="s">
        <v>2668</v>
      </c>
      <c r="C144" s="8"/>
      <c r="D144" s="8" t="s">
        <v>70</v>
      </c>
      <c r="E144" s="8" t="s">
        <v>71</v>
      </c>
      <c r="F144" s="9" t="s">
        <v>72</v>
      </c>
      <c r="G144" s="9" t="s">
        <v>73</v>
      </c>
      <c r="H144" s="25">
        <v>46372</v>
      </c>
      <c r="I144" s="25" t="s">
        <v>286</v>
      </c>
      <c r="J144" s="9" t="s">
        <v>239</v>
      </c>
      <c r="K144" s="9"/>
      <c r="L144" s="9" t="s">
        <v>76</v>
      </c>
      <c r="M144" s="9" t="s">
        <v>77</v>
      </c>
      <c r="N144" s="9" t="s">
        <v>78</v>
      </c>
      <c r="O144" s="9" t="s">
        <v>79</v>
      </c>
      <c r="P144" s="9" t="s">
        <v>80</v>
      </c>
      <c r="Q144" s="9" t="s">
        <v>220</v>
      </c>
      <c r="R144" s="9" t="s">
        <v>115</v>
      </c>
      <c r="S144" s="9" t="s">
        <v>83</v>
      </c>
      <c r="T144" s="9" t="s">
        <v>117</v>
      </c>
      <c r="U144" s="9" t="s">
        <v>308</v>
      </c>
      <c r="V144" s="24" t="str">
        <f t="shared" si="8"/>
        <v>Infrastructure</v>
      </c>
      <c r="W144" s="10" t="s">
        <v>6</v>
      </c>
      <c r="X144" s="10" t="s">
        <v>86</v>
      </c>
      <c r="Y144" s="10"/>
      <c r="Z144" s="10"/>
      <c r="AA144" s="10"/>
      <c r="AB144" s="22">
        <f>_xlfn.XLOOKUP(TIDP[[#This Row],[ACTIVITY ID]],Baseline[Activity Code],Baseline[Finish],"",0)</f>
        <v>46621</v>
      </c>
      <c r="AC144" s="10"/>
      <c r="AD144" s="10"/>
      <c r="AE144" s="10"/>
      <c r="AF144" s="10"/>
      <c r="AG144" s="10"/>
      <c r="AH144" s="11"/>
    </row>
    <row r="145" spans="1:34" x14ac:dyDescent="0.25">
      <c r="A145" s="43" t="str">
        <f t="shared" ref="A145:A216" si="9">CONCATENATE(TRIM(L145),"-",TRIM(M145),"-",TRIM(N145),"-",TRIM(O145),"-",TRIM(P145),"-",TRIM(Q145),"-",TRIM(R145),"-",TRIM(S145),TRIM(T145),TRIM(U145))</f>
        <v>QF01012-NES-C04518-CAL-CIV-00-Z00000-000002</v>
      </c>
      <c r="B145" s="8" t="s">
        <v>318</v>
      </c>
      <c r="C145" s="8"/>
      <c r="D145" s="8" t="s">
        <v>70</v>
      </c>
      <c r="E145" s="8" t="s">
        <v>71</v>
      </c>
      <c r="F145" s="9" t="s">
        <v>72</v>
      </c>
      <c r="G145" s="9" t="s">
        <v>73</v>
      </c>
      <c r="H145" s="25">
        <v>46372</v>
      </c>
      <c r="I145" s="25" t="s">
        <v>286</v>
      </c>
      <c r="J145" s="9" t="s">
        <v>239</v>
      </c>
      <c r="K145" s="9"/>
      <c r="L145" s="9" t="s">
        <v>76</v>
      </c>
      <c r="M145" s="9" t="s">
        <v>77</v>
      </c>
      <c r="N145" s="9" t="s">
        <v>78</v>
      </c>
      <c r="O145" s="9" t="s">
        <v>319</v>
      </c>
      <c r="P145" s="9" t="s">
        <v>80</v>
      </c>
      <c r="Q145" s="9" t="s">
        <v>14</v>
      </c>
      <c r="R145" s="9" t="s">
        <v>115</v>
      </c>
      <c r="S145" s="9" t="s">
        <v>288</v>
      </c>
      <c r="T145" s="9" t="s">
        <v>14</v>
      </c>
      <c r="U145" s="9" t="s">
        <v>320</v>
      </c>
      <c r="V145" s="24" t="str">
        <f t="shared" si="8"/>
        <v>Infrastructure</v>
      </c>
      <c r="W145" s="10" t="s">
        <v>6</v>
      </c>
      <c r="X145" s="10" t="s">
        <v>86</v>
      </c>
      <c r="Y145" s="10"/>
      <c r="Z145" s="10"/>
      <c r="AA145" s="10"/>
      <c r="AB145" s="22">
        <f>_xlfn.XLOOKUP(TIDP[[#This Row],[ACTIVITY ID]],Baseline[Activity Code],Baseline[Finish],"",0)</f>
        <v>46621</v>
      </c>
      <c r="AC145" s="10"/>
      <c r="AD145" s="10"/>
      <c r="AE145" s="10"/>
      <c r="AF145" s="10"/>
      <c r="AG145" s="10"/>
      <c r="AH145" s="11"/>
    </row>
    <row r="146" spans="1:34" x14ac:dyDescent="0.25">
      <c r="A146" s="43" t="str">
        <f t="shared" si="9"/>
        <v>QF01012-NES-C04518-CAL-CIV-00-Z00000-000001</v>
      </c>
      <c r="B146" s="8" t="s">
        <v>321</v>
      </c>
      <c r="C146" s="8"/>
      <c r="D146" s="8" t="s">
        <v>70</v>
      </c>
      <c r="E146" s="8" t="s">
        <v>71</v>
      </c>
      <c r="F146" s="9" t="s">
        <v>72</v>
      </c>
      <c r="G146" s="9" t="s">
        <v>73</v>
      </c>
      <c r="H146" s="25">
        <v>46372</v>
      </c>
      <c r="I146" s="25" t="s">
        <v>286</v>
      </c>
      <c r="J146" s="9" t="s">
        <v>239</v>
      </c>
      <c r="K146" s="9"/>
      <c r="L146" s="9" t="s">
        <v>76</v>
      </c>
      <c r="M146" s="9" t="s">
        <v>77</v>
      </c>
      <c r="N146" s="9" t="s">
        <v>78</v>
      </c>
      <c r="O146" s="9" t="s">
        <v>319</v>
      </c>
      <c r="P146" s="9" t="s">
        <v>80</v>
      </c>
      <c r="Q146" s="9" t="s">
        <v>14</v>
      </c>
      <c r="R146" s="9" t="s">
        <v>115</v>
      </c>
      <c r="S146" s="9" t="s">
        <v>288</v>
      </c>
      <c r="T146" s="9" t="s">
        <v>14</v>
      </c>
      <c r="U146" s="9" t="s">
        <v>322</v>
      </c>
      <c r="V146" s="24" t="str">
        <f t="shared" si="8"/>
        <v>Infrastructure</v>
      </c>
      <c r="W146" s="10" t="s">
        <v>6</v>
      </c>
      <c r="X146" s="10" t="s">
        <v>86</v>
      </c>
      <c r="Y146" s="10"/>
      <c r="Z146" s="10"/>
      <c r="AA146" s="10"/>
      <c r="AB146" s="22">
        <f>_xlfn.XLOOKUP(TIDP[[#This Row],[ACTIVITY ID]],Baseline[Activity Code],Baseline[Finish],"",0)</f>
        <v>46621</v>
      </c>
      <c r="AC146" s="10"/>
      <c r="AD146" s="10"/>
      <c r="AE146" s="10"/>
      <c r="AF146" s="10"/>
      <c r="AG146" s="10"/>
      <c r="AH146" s="11"/>
    </row>
    <row r="147" spans="1:34" x14ac:dyDescent="0.25">
      <c r="A147" s="43" t="str">
        <f t="shared" si="9"/>
        <v>QF01012-NES-C04518-SDW-CIV-01-Z00000-3FL0515</v>
      </c>
      <c r="B147" s="8" t="s">
        <v>2672</v>
      </c>
      <c r="C147" s="8" t="s">
        <v>69</v>
      </c>
      <c r="D147" s="8" t="s">
        <v>70</v>
      </c>
      <c r="E147" s="8" t="s">
        <v>71</v>
      </c>
      <c r="F147" s="9" t="s">
        <v>72</v>
      </c>
      <c r="G147" s="9" t="s">
        <v>144</v>
      </c>
      <c r="H147" s="25">
        <v>46372</v>
      </c>
      <c r="I147" s="25" t="s">
        <v>323</v>
      </c>
      <c r="J147" s="9" t="s">
        <v>187</v>
      </c>
      <c r="K147" s="9"/>
      <c r="L147" s="9" t="s">
        <v>76</v>
      </c>
      <c r="M147" s="9" t="s">
        <v>77</v>
      </c>
      <c r="N147" s="9" t="s">
        <v>78</v>
      </c>
      <c r="O147" s="9" t="s">
        <v>79</v>
      </c>
      <c r="P147" s="9" t="s">
        <v>80</v>
      </c>
      <c r="Q147" s="9" t="s">
        <v>81</v>
      </c>
      <c r="R147" s="9" t="s">
        <v>115</v>
      </c>
      <c r="S147" s="9" t="s">
        <v>88</v>
      </c>
      <c r="T147" s="9" t="s">
        <v>84</v>
      </c>
      <c r="U147" s="9" t="s">
        <v>324</v>
      </c>
      <c r="V147" s="24" t="str">
        <f t="shared" si="8"/>
        <v>Infrastructure</v>
      </c>
      <c r="W147" s="10" t="s">
        <v>6</v>
      </c>
      <c r="X147" s="10" t="s">
        <v>86</v>
      </c>
      <c r="Y147" s="10"/>
      <c r="Z147" s="10"/>
      <c r="AA147" s="10"/>
      <c r="AB147" s="22">
        <f>_xlfn.XLOOKUP(TIDP[[#This Row],[ACTIVITY ID]],Baseline[Activity Code],Baseline[Finish],"",0)</f>
        <v>46425</v>
      </c>
      <c r="AC147" s="10"/>
      <c r="AD147" s="10"/>
      <c r="AE147" s="10"/>
      <c r="AF147" s="10"/>
      <c r="AG147" s="10"/>
      <c r="AH147" s="11"/>
    </row>
    <row r="148" spans="1:34" x14ac:dyDescent="0.25">
      <c r="A148" s="43" t="str">
        <f t="shared" si="9"/>
        <v>QF01012-NES-C04518-SDW-CIV-01-Z00000-3FL0517</v>
      </c>
      <c r="B148" s="8" t="s">
        <v>2671</v>
      </c>
      <c r="C148" s="8" t="s">
        <v>69</v>
      </c>
      <c r="D148" s="8" t="s">
        <v>70</v>
      </c>
      <c r="E148" s="8" t="s">
        <v>71</v>
      </c>
      <c r="F148" s="9" t="s">
        <v>72</v>
      </c>
      <c r="G148" s="9" t="s">
        <v>144</v>
      </c>
      <c r="H148" s="25">
        <v>46372</v>
      </c>
      <c r="I148" s="25" t="s">
        <v>323</v>
      </c>
      <c r="J148" s="9" t="s">
        <v>187</v>
      </c>
      <c r="K148" s="9"/>
      <c r="L148" s="9" t="s">
        <v>76</v>
      </c>
      <c r="M148" s="9" t="s">
        <v>77</v>
      </c>
      <c r="N148" s="9" t="s">
        <v>78</v>
      </c>
      <c r="O148" s="9" t="s">
        <v>79</v>
      </c>
      <c r="P148" s="9" t="s">
        <v>80</v>
      </c>
      <c r="Q148" s="9" t="s">
        <v>81</v>
      </c>
      <c r="R148" s="9" t="s">
        <v>115</v>
      </c>
      <c r="S148" s="9" t="s">
        <v>88</v>
      </c>
      <c r="T148" s="9" t="s">
        <v>84</v>
      </c>
      <c r="U148" s="9" t="s">
        <v>325</v>
      </c>
      <c r="V148" s="24" t="str">
        <f t="shared" si="8"/>
        <v>Infrastructure</v>
      </c>
      <c r="W148" s="10" t="s">
        <v>6</v>
      </c>
      <c r="X148" s="10" t="s">
        <v>86</v>
      </c>
      <c r="Y148" s="10"/>
      <c r="Z148" s="10"/>
      <c r="AA148" s="10"/>
      <c r="AB148" s="22">
        <f>_xlfn.XLOOKUP(TIDP[[#This Row],[ACTIVITY ID]],Baseline[Activity Code],Baseline[Finish],"",0)</f>
        <v>46425</v>
      </c>
      <c r="AC148" s="10"/>
      <c r="AD148" s="10"/>
      <c r="AE148" s="10"/>
      <c r="AF148" s="10"/>
      <c r="AG148" s="10"/>
      <c r="AH148" s="11"/>
    </row>
    <row r="149" spans="1:34" x14ac:dyDescent="0.25">
      <c r="A149" s="43" t="str">
        <f t="shared" si="9"/>
        <v>QF01012-NES-C04518-SDW-CIV-01-Z00000-3FL0522</v>
      </c>
      <c r="B149" s="8" t="s">
        <v>2670</v>
      </c>
      <c r="C149" s="8" t="s">
        <v>69</v>
      </c>
      <c r="D149" s="8" t="s">
        <v>70</v>
      </c>
      <c r="E149" s="8" t="s">
        <v>71</v>
      </c>
      <c r="F149" s="9" t="s">
        <v>72</v>
      </c>
      <c r="G149" s="9" t="s">
        <v>144</v>
      </c>
      <c r="H149" s="25">
        <v>46372</v>
      </c>
      <c r="I149" s="25" t="s">
        <v>323</v>
      </c>
      <c r="J149" s="9" t="s">
        <v>187</v>
      </c>
      <c r="K149" s="9"/>
      <c r="L149" s="9" t="s">
        <v>76</v>
      </c>
      <c r="M149" s="9" t="s">
        <v>77</v>
      </c>
      <c r="N149" s="9" t="s">
        <v>78</v>
      </c>
      <c r="O149" s="9" t="s">
        <v>79</v>
      </c>
      <c r="P149" s="9" t="s">
        <v>80</v>
      </c>
      <c r="Q149" s="9" t="s">
        <v>81</v>
      </c>
      <c r="R149" s="9" t="s">
        <v>115</v>
      </c>
      <c r="S149" s="9" t="s">
        <v>88</v>
      </c>
      <c r="T149" s="9" t="s">
        <v>84</v>
      </c>
      <c r="U149" s="9" t="s">
        <v>326</v>
      </c>
      <c r="V149" s="24" t="str">
        <f t="shared" si="8"/>
        <v>Infrastructure</v>
      </c>
      <c r="W149" s="10" t="s">
        <v>6</v>
      </c>
      <c r="X149" s="10" t="s">
        <v>86</v>
      </c>
      <c r="Y149" s="10"/>
      <c r="Z149" s="10"/>
      <c r="AA149" s="10"/>
      <c r="AB149" s="22">
        <f>_xlfn.XLOOKUP(TIDP[[#This Row],[ACTIVITY ID]],Baseline[Activity Code],Baseline[Finish],"",0)</f>
        <v>46425</v>
      </c>
      <c r="AC149" s="10"/>
      <c r="AD149" s="10"/>
      <c r="AE149" s="10"/>
      <c r="AF149" s="10"/>
      <c r="AG149" s="10"/>
      <c r="AH149" s="11"/>
    </row>
    <row r="150" spans="1:34" x14ac:dyDescent="0.25">
      <c r="A150" s="43" t="str">
        <f t="shared" ref="A150:A162" si="10">CONCATENATE(TRIM(L150),"-",TRIM(M150),"-",TRIM(N150),"-",TRIM(O150),"-",TRIM(P150),"-",TRIM(Q150),"-",TRIM(R150),"-",TRIM(S150),TRIM(T150),TRIM(U150))</f>
        <v>QF01012-NES-C04518-SDW-CIV-01-Z00000-3FL0527</v>
      </c>
      <c r="B150" s="8" t="s">
        <v>2669</v>
      </c>
      <c r="C150" s="8" t="s">
        <v>69</v>
      </c>
      <c r="D150" s="8" t="s">
        <v>70</v>
      </c>
      <c r="E150" s="8" t="s">
        <v>71</v>
      </c>
      <c r="F150" s="9" t="s">
        <v>72</v>
      </c>
      <c r="G150" s="9" t="s">
        <v>144</v>
      </c>
      <c r="H150" s="25">
        <v>46372</v>
      </c>
      <c r="I150" s="25" t="s">
        <v>323</v>
      </c>
      <c r="J150" s="9" t="s">
        <v>187</v>
      </c>
      <c r="K150" s="9"/>
      <c r="L150" s="9" t="s">
        <v>76</v>
      </c>
      <c r="M150" s="9" t="s">
        <v>77</v>
      </c>
      <c r="N150" s="9" t="s">
        <v>78</v>
      </c>
      <c r="O150" s="9" t="s">
        <v>79</v>
      </c>
      <c r="P150" s="9" t="s">
        <v>80</v>
      </c>
      <c r="Q150" s="9" t="s">
        <v>81</v>
      </c>
      <c r="R150" s="9" t="s">
        <v>115</v>
      </c>
      <c r="S150" s="9" t="s">
        <v>88</v>
      </c>
      <c r="T150" s="9" t="s">
        <v>84</v>
      </c>
      <c r="U150" s="9" t="s">
        <v>329</v>
      </c>
      <c r="V150" s="24" t="str">
        <f t="shared" si="8"/>
        <v>Infrastructure</v>
      </c>
      <c r="W150" s="10" t="s">
        <v>6</v>
      </c>
      <c r="X150" s="10" t="s">
        <v>86</v>
      </c>
      <c r="Y150" s="10"/>
      <c r="Z150" s="10"/>
      <c r="AA150" s="10"/>
      <c r="AB150" s="22">
        <f>_xlfn.XLOOKUP(TIDP[[#This Row],[ACTIVITY ID]],Baseline[Activity Code],Baseline[Finish],"",0)</f>
        <v>46425</v>
      </c>
      <c r="AC150" s="10"/>
      <c r="AD150" s="10"/>
      <c r="AE150" s="10"/>
      <c r="AF150" s="10"/>
      <c r="AG150" s="10"/>
      <c r="AH150" s="11"/>
    </row>
    <row r="151" spans="1:34" x14ac:dyDescent="0.25">
      <c r="A151" s="56" t="str">
        <f t="shared" si="10"/>
        <v>QF01012-NES-C04518-CAL-CIV-00-Z00000-000003</v>
      </c>
      <c r="B151" s="8" t="s">
        <v>332</v>
      </c>
      <c r="C151" s="57"/>
      <c r="D151" s="8" t="s">
        <v>70</v>
      </c>
      <c r="E151" s="8" t="s">
        <v>71</v>
      </c>
      <c r="F151" s="9" t="s">
        <v>284</v>
      </c>
      <c r="G151" s="9" t="s">
        <v>285</v>
      </c>
      <c r="H151" s="25">
        <v>46372</v>
      </c>
      <c r="I151" s="25" t="s">
        <v>333</v>
      </c>
      <c r="J151" s="9" t="s">
        <v>239</v>
      </c>
      <c r="K151" s="58"/>
      <c r="L151" s="9" t="s">
        <v>76</v>
      </c>
      <c r="M151" s="9" t="s">
        <v>77</v>
      </c>
      <c r="N151" s="9" t="s">
        <v>78</v>
      </c>
      <c r="O151" s="9" t="s">
        <v>319</v>
      </c>
      <c r="P151" s="9" t="s">
        <v>80</v>
      </c>
      <c r="Q151" s="9" t="s">
        <v>14</v>
      </c>
      <c r="R151" s="9" t="s">
        <v>115</v>
      </c>
      <c r="S151" s="9" t="s">
        <v>288</v>
      </c>
      <c r="T151" s="9" t="s">
        <v>14</v>
      </c>
      <c r="U151" s="58" t="s">
        <v>334</v>
      </c>
      <c r="V151" s="59" t="str">
        <f t="shared" si="8"/>
        <v>Infrastructure</v>
      </c>
      <c r="W151" s="10" t="s">
        <v>6</v>
      </c>
      <c r="X151" s="10" t="s">
        <v>86</v>
      </c>
      <c r="Y151" s="60"/>
      <c r="Z151" s="60"/>
      <c r="AA151" s="60"/>
      <c r="AB151" s="61">
        <f>_xlfn.XLOOKUP(TIDP[[#This Row],[ACTIVITY ID]],Baseline[Activity Code],Baseline[Finish],"",0)</f>
        <v>46621</v>
      </c>
      <c r="AC151" s="60"/>
      <c r="AD151" s="60"/>
      <c r="AE151" s="60"/>
      <c r="AF151" s="60"/>
      <c r="AG151" s="60"/>
      <c r="AH151" s="62"/>
    </row>
    <row r="152" spans="1:34" x14ac:dyDescent="0.25">
      <c r="A152" s="43" t="str">
        <f t="shared" si="10"/>
        <v>QF01012-NES-C04518-CAL-CIV-00-Z00000-000004</v>
      </c>
      <c r="B152" s="8" t="s">
        <v>335</v>
      </c>
      <c r="C152" s="8"/>
      <c r="D152" s="8" t="s">
        <v>70</v>
      </c>
      <c r="E152" s="8" t="s">
        <v>71</v>
      </c>
      <c r="F152" s="9" t="s">
        <v>284</v>
      </c>
      <c r="G152" s="9" t="s">
        <v>285</v>
      </c>
      <c r="H152" s="25">
        <v>46372</v>
      </c>
      <c r="I152" s="25" t="s">
        <v>333</v>
      </c>
      <c r="J152" s="9" t="s">
        <v>239</v>
      </c>
      <c r="K152" s="58"/>
      <c r="L152" s="9" t="s">
        <v>76</v>
      </c>
      <c r="M152" s="9" t="s">
        <v>77</v>
      </c>
      <c r="N152" s="9" t="s">
        <v>78</v>
      </c>
      <c r="O152" s="9" t="s">
        <v>319</v>
      </c>
      <c r="P152" s="9" t="s">
        <v>80</v>
      </c>
      <c r="Q152" s="9" t="s">
        <v>14</v>
      </c>
      <c r="R152" s="9" t="s">
        <v>115</v>
      </c>
      <c r="S152" s="9" t="s">
        <v>288</v>
      </c>
      <c r="T152" s="9" t="s">
        <v>14</v>
      </c>
      <c r="U152" s="58" t="s">
        <v>336</v>
      </c>
      <c r="V152" s="59" t="str">
        <f t="shared" si="8"/>
        <v>Infrastructure</v>
      </c>
      <c r="W152" s="10" t="s">
        <v>6</v>
      </c>
      <c r="X152" s="10" t="s">
        <v>86</v>
      </c>
      <c r="Y152" s="60"/>
      <c r="Z152" s="60"/>
      <c r="AA152" s="60"/>
      <c r="AB152" s="61">
        <f>_xlfn.XLOOKUP(TIDP[[#This Row],[ACTIVITY ID]],Baseline[Activity Code],Baseline[Finish],"",0)</f>
        <v>46621</v>
      </c>
      <c r="AC152" s="60"/>
      <c r="AD152" s="60"/>
      <c r="AE152" s="60"/>
      <c r="AF152" s="60"/>
      <c r="AG152" s="60"/>
      <c r="AH152" s="62"/>
    </row>
    <row r="153" spans="1:34" x14ac:dyDescent="0.25">
      <c r="A153" s="43" t="str">
        <f t="shared" si="10"/>
        <v>QF01012-NES-C04518-REP-CIV-00-Z00000-000001</v>
      </c>
      <c r="B153" s="8" t="s">
        <v>337</v>
      </c>
      <c r="C153" s="8"/>
      <c r="D153" s="8" t="s">
        <v>70</v>
      </c>
      <c r="E153" s="8" t="s">
        <v>71</v>
      </c>
      <c r="F153" s="9" t="s">
        <v>284</v>
      </c>
      <c r="G153" s="9" t="s">
        <v>285</v>
      </c>
      <c r="H153" s="25">
        <v>46372</v>
      </c>
      <c r="I153" s="25" t="s">
        <v>333</v>
      </c>
      <c r="J153" s="9" t="s">
        <v>239</v>
      </c>
      <c r="K153" s="58"/>
      <c r="L153" s="9" t="s">
        <v>76</v>
      </c>
      <c r="M153" s="9" t="s">
        <v>77</v>
      </c>
      <c r="N153" s="9" t="s">
        <v>78</v>
      </c>
      <c r="O153" s="9" t="s">
        <v>338</v>
      </c>
      <c r="P153" s="9" t="s">
        <v>80</v>
      </c>
      <c r="Q153" s="9" t="s">
        <v>14</v>
      </c>
      <c r="R153" s="9" t="s">
        <v>115</v>
      </c>
      <c r="S153" s="9" t="s">
        <v>288</v>
      </c>
      <c r="T153" s="9" t="s">
        <v>14</v>
      </c>
      <c r="U153" s="58" t="s">
        <v>322</v>
      </c>
      <c r="V153" s="59" t="str">
        <f t="shared" si="8"/>
        <v>Infrastructure</v>
      </c>
      <c r="W153" s="10" t="s">
        <v>6</v>
      </c>
      <c r="X153" s="10" t="s">
        <v>86</v>
      </c>
      <c r="Y153" s="60"/>
      <c r="Z153" s="60"/>
      <c r="AA153" s="60"/>
      <c r="AB153" s="61">
        <f>_xlfn.XLOOKUP(TIDP[[#This Row],[ACTIVITY ID]],Baseline[Activity Code],Baseline[Finish],"",0)</f>
        <v>46621</v>
      </c>
      <c r="AC153" s="60"/>
      <c r="AD153" s="60"/>
      <c r="AE153" s="60"/>
      <c r="AF153" s="60"/>
      <c r="AG153" s="60"/>
      <c r="AH153" s="62"/>
    </row>
    <row r="154" spans="1:34" x14ac:dyDescent="0.25">
      <c r="A154" s="43" t="str">
        <f t="shared" si="10"/>
        <v>QF01012-NES-C04518-SDW-CIV-00-BLAD04-7ZZ7414</v>
      </c>
      <c r="B154" s="8" t="s">
        <v>126</v>
      </c>
      <c r="C154" s="8"/>
      <c r="D154" s="8" t="s">
        <v>70</v>
      </c>
      <c r="E154" s="8" t="s">
        <v>71</v>
      </c>
      <c r="F154" s="9" t="s">
        <v>284</v>
      </c>
      <c r="G154" s="9" t="s">
        <v>285</v>
      </c>
      <c r="H154" s="25">
        <v>46372</v>
      </c>
      <c r="I154" s="25" t="s">
        <v>333</v>
      </c>
      <c r="J154" s="9" t="s">
        <v>239</v>
      </c>
      <c r="K154" s="58"/>
      <c r="L154" s="9" t="s">
        <v>76</v>
      </c>
      <c r="M154" s="9" t="s">
        <v>77</v>
      </c>
      <c r="N154" s="9" t="s">
        <v>78</v>
      </c>
      <c r="O154" s="9" t="s">
        <v>79</v>
      </c>
      <c r="P154" s="9" t="s">
        <v>80</v>
      </c>
      <c r="Q154" s="9" t="s">
        <v>14</v>
      </c>
      <c r="R154" s="9" t="s">
        <v>112</v>
      </c>
      <c r="S154" s="9" t="s">
        <v>127</v>
      </c>
      <c r="T154" s="9" t="s">
        <v>117</v>
      </c>
      <c r="U154" s="58" t="s">
        <v>339</v>
      </c>
      <c r="V154" s="59" t="str">
        <f t="shared" si="8"/>
        <v>Infrastructure</v>
      </c>
      <c r="W154" s="10" t="s">
        <v>6</v>
      </c>
      <c r="X154" s="10" t="s">
        <v>86</v>
      </c>
      <c r="Y154" s="60"/>
      <c r="Z154" s="60"/>
      <c r="AA154" s="60"/>
      <c r="AB154" s="61">
        <f>_xlfn.XLOOKUP(TIDP[[#This Row],[ACTIVITY ID]],Baseline[Activity Code],Baseline[Finish],"",0)</f>
        <v>46621</v>
      </c>
      <c r="AC154" s="60"/>
      <c r="AD154" s="60"/>
      <c r="AE154" s="60"/>
      <c r="AF154" s="60"/>
      <c r="AG154" s="60"/>
      <c r="AH154" s="62"/>
    </row>
    <row r="155" spans="1:34" x14ac:dyDescent="0.25">
      <c r="A155" s="43" t="str">
        <f t="shared" si="10"/>
        <v>QF01012-NES-C04518-SDW-CIV-00-BLAD04-7ZZ7415</v>
      </c>
      <c r="B155" s="8" t="s">
        <v>340</v>
      </c>
      <c r="C155" s="8"/>
      <c r="D155" s="8" t="s">
        <v>70</v>
      </c>
      <c r="E155" s="8" t="s">
        <v>71</v>
      </c>
      <c r="F155" s="9" t="s">
        <v>284</v>
      </c>
      <c r="G155" s="9" t="s">
        <v>285</v>
      </c>
      <c r="H155" s="25">
        <v>46372</v>
      </c>
      <c r="I155" s="25" t="s">
        <v>333</v>
      </c>
      <c r="J155" s="9" t="s">
        <v>239</v>
      </c>
      <c r="K155" s="58"/>
      <c r="L155" s="9" t="s">
        <v>76</v>
      </c>
      <c r="M155" s="9" t="s">
        <v>77</v>
      </c>
      <c r="N155" s="9" t="s">
        <v>78</v>
      </c>
      <c r="O155" s="9" t="s">
        <v>79</v>
      </c>
      <c r="P155" s="9" t="s">
        <v>80</v>
      </c>
      <c r="Q155" s="9" t="s">
        <v>14</v>
      </c>
      <c r="R155" s="9" t="s">
        <v>112</v>
      </c>
      <c r="S155" s="9" t="s">
        <v>127</v>
      </c>
      <c r="T155" s="9" t="s">
        <v>117</v>
      </c>
      <c r="U155" s="58" t="s">
        <v>341</v>
      </c>
      <c r="V155" s="59" t="str">
        <f t="shared" si="8"/>
        <v>Infrastructure</v>
      </c>
      <c r="W155" s="10" t="s">
        <v>6</v>
      </c>
      <c r="X155" s="10" t="s">
        <v>86</v>
      </c>
      <c r="Y155" s="60"/>
      <c r="Z155" s="60"/>
      <c r="AA155" s="60"/>
      <c r="AB155" s="61">
        <f>_xlfn.XLOOKUP(TIDP[[#This Row],[ACTIVITY ID]],Baseline[Activity Code],Baseline[Finish],"",0)</f>
        <v>46621</v>
      </c>
      <c r="AC155" s="60"/>
      <c r="AD155" s="60"/>
      <c r="AE155" s="60"/>
      <c r="AF155" s="60"/>
      <c r="AG155" s="60"/>
      <c r="AH155" s="62"/>
    </row>
    <row r="156" spans="1:34" x14ac:dyDescent="0.25">
      <c r="A156" s="56" t="str">
        <f t="shared" si="10"/>
        <v>QF01012-NES-C04518-SDW-CIV-00-BLAD04-7ZZ7416</v>
      </c>
      <c r="B156" s="8" t="s">
        <v>342</v>
      </c>
      <c r="C156" s="57"/>
      <c r="D156" s="8" t="s">
        <v>70</v>
      </c>
      <c r="E156" s="8" t="s">
        <v>71</v>
      </c>
      <c r="F156" s="9" t="s">
        <v>284</v>
      </c>
      <c r="G156" s="9" t="s">
        <v>285</v>
      </c>
      <c r="H156" s="25">
        <v>46372</v>
      </c>
      <c r="I156" s="25" t="s">
        <v>333</v>
      </c>
      <c r="J156" s="9" t="s">
        <v>239</v>
      </c>
      <c r="K156" s="58"/>
      <c r="L156" s="9" t="s">
        <v>76</v>
      </c>
      <c r="M156" s="9" t="s">
        <v>77</v>
      </c>
      <c r="N156" s="9" t="s">
        <v>78</v>
      </c>
      <c r="O156" s="9" t="s">
        <v>79</v>
      </c>
      <c r="P156" s="9" t="s">
        <v>80</v>
      </c>
      <c r="Q156" s="9" t="s">
        <v>14</v>
      </c>
      <c r="R156" s="9" t="s">
        <v>112</v>
      </c>
      <c r="S156" s="9" t="s">
        <v>127</v>
      </c>
      <c r="T156" s="9" t="s">
        <v>117</v>
      </c>
      <c r="U156" s="58" t="s">
        <v>343</v>
      </c>
      <c r="V156" s="59" t="str">
        <f t="shared" si="8"/>
        <v>Infrastructure</v>
      </c>
      <c r="W156" s="10" t="s">
        <v>6</v>
      </c>
      <c r="X156" s="10" t="s">
        <v>86</v>
      </c>
      <c r="Y156" s="60"/>
      <c r="Z156" s="60"/>
      <c r="AA156" s="60"/>
      <c r="AB156" s="61">
        <f>_xlfn.XLOOKUP(TIDP[[#This Row],[ACTIVITY ID]],Baseline[Activity Code],Baseline[Finish],"",0)</f>
        <v>46621</v>
      </c>
      <c r="AC156" s="60"/>
      <c r="AD156" s="60"/>
      <c r="AE156" s="60"/>
      <c r="AF156" s="60"/>
      <c r="AG156" s="60"/>
      <c r="AH156" s="62"/>
    </row>
    <row r="157" spans="1:34" x14ac:dyDescent="0.25">
      <c r="A157" s="43" t="str">
        <f t="shared" si="10"/>
        <v>QF01012-NES-C04518-SDW-CIV-00-BLAD04-7ZZ7417</v>
      </c>
      <c r="B157" s="8" t="s">
        <v>344</v>
      </c>
      <c r="C157" s="8"/>
      <c r="D157" s="8" t="s">
        <v>70</v>
      </c>
      <c r="E157" s="8" t="s">
        <v>71</v>
      </c>
      <c r="F157" s="9" t="s">
        <v>284</v>
      </c>
      <c r="G157" s="9" t="s">
        <v>285</v>
      </c>
      <c r="H157" s="25">
        <v>46372</v>
      </c>
      <c r="I157" s="25" t="s">
        <v>333</v>
      </c>
      <c r="J157" s="9" t="s">
        <v>239</v>
      </c>
      <c r="K157" s="58"/>
      <c r="L157" s="9" t="s">
        <v>76</v>
      </c>
      <c r="M157" s="9" t="s">
        <v>77</v>
      </c>
      <c r="N157" s="9" t="s">
        <v>78</v>
      </c>
      <c r="O157" s="9" t="s">
        <v>79</v>
      </c>
      <c r="P157" s="9" t="s">
        <v>80</v>
      </c>
      <c r="Q157" s="9" t="s">
        <v>14</v>
      </c>
      <c r="R157" s="9" t="s">
        <v>112</v>
      </c>
      <c r="S157" s="9" t="s">
        <v>127</v>
      </c>
      <c r="T157" s="9" t="s">
        <v>117</v>
      </c>
      <c r="U157" s="58" t="s">
        <v>345</v>
      </c>
      <c r="V157" s="59" t="str">
        <f t="shared" si="8"/>
        <v>Infrastructure</v>
      </c>
      <c r="W157" s="10" t="s">
        <v>6</v>
      </c>
      <c r="X157" s="10" t="s">
        <v>86</v>
      </c>
      <c r="Y157" s="60"/>
      <c r="Z157" s="60"/>
      <c r="AA157" s="60"/>
      <c r="AB157" s="61">
        <f>_xlfn.XLOOKUP(TIDP[[#This Row],[ACTIVITY ID]],Baseline[Activity Code],Baseline[Finish],"",0)</f>
        <v>46621</v>
      </c>
      <c r="AC157" s="60"/>
      <c r="AD157" s="60"/>
      <c r="AE157" s="60"/>
      <c r="AF157" s="60"/>
      <c r="AG157" s="60"/>
      <c r="AH157" s="62"/>
    </row>
    <row r="158" spans="1:34" x14ac:dyDescent="0.25">
      <c r="A158" s="43" t="str">
        <f t="shared" si="10"/>
        <v>QF01012-NES-C04518-SDW-CIV-00-BLAD04-7ZZ7418</v>
      </c>
      <c r="B158" s="8" t="s">
        <v>346</v>
      </c>
      <c r="C158" s="8"/>
      <c r="D158" s="8" t="s">
        <v>70</v>
      </c>
      <c r="E158" s="8" t="s">
        <v>71</v>
      </c>
      <c r="F158" s="9" t="s">
        <v>284</v>
      </c>
      <c r="G158" s="9" t="s">
        <v>285</v>
      </c>
      <c r="H158" s="25">
        <v>46372</v>
      </c>
      <c r="I158" s="25" t="s">
        <v>333</v>
      </c>
      <c r="J158" s="9" t="s">
        <v>239</v>
      </c>
      <c r="K158" s="58"/>
      <c r="L158" s="9" t="s">
        <v>76</v>
      </c>
      <c r="M158" s="9" t="s">
        <v>77</v>
      </c>
      <c r="N158" s="9" t="s">
        <v>78</v>
      </c>
      <c r="O158" s="9" t="s">
        <v>79</v>
      </c>
      <c r="P158" s="9" t="s">
        <v>80</v>
      </c>
      <c r="Q158" s="9" t="s">
        <v>14</v>
      </c>
      <c r="R158" s="9" t="s">
        <v>112</v>
      </c>
      <c r="S158" s="9" t="s">
        <v>127</v>
      </c>
      <c r="T158" s="9" t="s">
        <v>117</v>
      </c>
      <c r="U158" s="58" t="s">
        <v>347</v>
      </c>
      <c r="V158" s="59" t="str">
        <f t="shared" si="8"/>
        <v>Infrastructure</v>
      </c>
      <c r="W158" s="10" t="s">
        <v>6</v>
      </c>
      <c r="X158" s="10" t="s">
        <v>86</v>
      </c>
      <c r="Y158" s="60"/>
      <c r="Z158" s="60"/>
      <c r="AA158" s="60"/>
      <c r="AB158" s="61">
        <f>_xlfn.XLOOKUP(TIDP[[#This Row],[ACTIVITY ID]],Baseline[Activity Code],Baseline[Finish],"",0)</f>
        <v>46621</v>
      </c>
      <c r="AC158" s="60"/>
      <c r="AD158" s="60"/>
      <c r="AE158" s="60"/>
      <c r="AF158" s="60"/>
      <c r="AG158" s="60"/>
      <c r="AH158" s="62"/>
    </row>
    <row r="159" spans="1:34" x14ac:dyDescent="0.25">
      <c r="A159" s="56" t="str">
        <f t="shared" si="10"/>
        <v>QF01012-NES-C04518-SDW-CIV-00-BLAD04-7ZZ7419</v>
      </c>
      <c r="B159" s="8" t="s">
        <v>348</v>
      </c>
      <c r="C159" s="57"/>
      <c r="D159" s="8" t="s">
        <v>70</v>
      </c>
      <c r="E159" s="8" t="s">
        <v>71</v>
      </c>
      <c r="F159" s="9" t="s">
        <v>284</v>
      </c>
      <c r="G159" s="9" t="s">
        <v>285</v>
      </c>
      <c r="H159" s="25">
        <v>46372</v>
      </c>
      <c r="I159" s="25" t="s">
        <v>333</v>
      </c>
      <c r="J159" s="9" t="s">
        <v>239</v>
      </c>
      <c r="K159" s="58"/>
      <c r="L159" s="9" t="s">
        <v>76</v>
      </c>
      <c r="M159" s="9" t="s">
        <v>77</v>
      </c>
      <c r="N159" s="9" t="s">
        <v>78</v>
      </c>
      <c r="O159" s="9" t="s">
        <v>79</v>
      </c>
      <c r="P159" s="9" t="s">
        <v>80</v>
      </c>
      <c r="Q159" s="9" t="s">
        <v>14</v>
      </c>
      <c r="R159" s="9" t="s">
        <v>112</v>
      </c>
      <c r="S159" s="9" t="s">
        <v>127</v>
      </c>
      <c r="T159" s="9" t="s">
        <v>117</v>
      </c>
      <c r="U159" s="58" t="s">
        <v>349</v>
      </c>
      <c r="V159" s="59" t="str">
        <f t="shared" si="8"/>
        <v>Infrastructure</v>
      </c>
      <c r="W159" s="10" t="s">
        <v>6</v>
      </c>
      <c r="X159" s="10" t="s">
        <v>86</v>
      </c>
      <c r="Y159" s="60"/>
      <c r="Z159" s="60"/>
      <c r="AA159" s="60"/>
      <c r="AB159" s="61">
        <f>_xlfn.XLOOKUP(TIDP[[#This Row],[ACTIVITY ID]],Baseline[Activity Code],Baseline[Finish],"",0)</f>
        <v>46621</v>
      </c>
      <c r="AC159" s="60"/>
      <c r="AD159" s="60"/>
      <c r="AE159" s="60"/>
      <c r="AF159" s="60"/>
      <c r="AG159" s="60"/>
      <c r="AH159" s="62"/>
    </row>
    <row r="160" spans="1:34" x14ac:dyDescent="0.25">
      <c r="A160" s="43" t="str">
        <f t="shared" si="10"/>
        <v>QF01012-NES-C04518-SDW-CIV-00-BLAD01-7ZZ7423</v>
      </c>
      <c r="B160" s="8" t="s">
        <v>350</v>
      </c>
      <c r="C160" s="8"/>
      <c r="D160" s="8" t="s">
        <v>70</v>
      </c>
      <c r="E160" s="8" t="s">
        <v>71</v>
      </c>
      <c r="F160" s="9" t="s">
        <v>284</v>
      </c>
      <c r="G160" s="9" t="s">
        <v>285</v>
      </c>
      <c r="H160" s="25">
        <v>46372</v>
      </c>
      <c r="I160" s="25" t="s">
        <v>333</v>
      </c>
      <c r="J160" s="9" t="s">
        <v>239</v>
      </c>
      <c r="K160" s="58"/>
      <c r="L160" s="9" t="s">
        <v>76</v>
      </c>
      <c r="M160" s="9" t="s">
        <v>77</v>
      </c>
      <c r="N160" s="9" t="s">
        <v>78</v>
      </c>
      <c r="O160" s="9" t="s">
        <v>79</v>
      </c>
      <c r="P160" s="9" t="s">
        <v>80</v>
      </c>
      <c r="Q160" s="9" t="s">
        <v>14</v>
      </c>
      <c r="R160" s="9" t="s">
        <v>82</v>
      </c>
      <c r="S160" s="9" t="s">
        <v>127</v>
      </c>
      <c r="T160" s="9" t="s">
        <v>117</v>
      </c>
      <c r="U160" s="58" t="s">
        <v>351</v>
      </c>
      <c r="V160" s="59" t="str">
        <f t="shared" si="8"/>
        <v>Infrastructure</v>
      </c>
      <c r="W160" s="10" t="s">
        <v>6</v>
      </c>
      <c r="X160" s="10" t="s">
        <v>86</v>
      </c>
      <c r="Y160" s="60"/>
      <c r="Z160" s="60"/>
      <c r="AA160" s="60"/>
      <c r="AB160" s="61">
        <f>_xlfn.XLOOKUP(TIDP[[#This Row],[ACTIVITY ID]],Baseline[Activity Code],Baseline[Finish],"",0)</f>
        <v>46621</v>
      </c>
      <c r="AC160" s="60"/>
      <c r="AD160" s="60"/>
      <c r="AE160" s="60"/>
      <c r="AF160" s="60"/>
      <c r="AG160" s="60"/>
      <c r="AH160" s="62"/>
    </row>
    <row r="161" spans="1:34" x14ac:dyDescent="0.25">
      <c r="A161" s="43" t="str">
        <f t="shared" si="10"/>
        <v>QF01012-NES-C04518-SDW-CIV-00-BLAD01-7ZZ7424</v>
      </c>
      <c r="B161" s="8" t="s">
        <v>352</v>
      </c>
      <c r="C161" s="8"/>
      <c r="D161" s="8" t="s">
        <v>70</v>
      </c>
      <c r="E161" s="8" t="s">
        <v>71</v>
      </c>
      <c r="F161" s="9" t="s">
        <v>284</v>
      </c>
      <c r="G161" s="9" t="s">
        <v>285</v>
      </c>
      <c r="H161" s="25">
        <v>46372</v>
      </c>
      <c r="I161" s="25" t="s">
        <v>333</v>
      </c>
      <c r="J161" s="9" t="s">
        <v>239</v>
      </c>
      <c r="K161" s="58"/>
      <c r="L161" s="9" t="s">
        <v>76</v>
      </c>
      <c r="M161" s="9" t="s">
        <v>77</v>
      </c>
      <c r="N161" s="9" t="s">
        <v>78</v>
      </c>
      <c r="O161" s="9" t="s">
        <v>79</v>
      </c>
      <c r="P161" s="9" t="s">
        <v>80</v>
      </c>
      <c r="Q161" s="9" t="s">
        <v>14</v>
      </c>
      <c r="R161" s="9" t="s">
        <v>82</v>
      </c>
      <c r="S161" s="9" t="s">
        <v>127</v>
      </c>
      <c r="T161" s="9" t="s">
        <v>117</v>
      </c>
      <c r="U161" s="58" t="s">
        <v>353</v>
      </c>
      <c r="V161" s="59" t="str">
        <f t="shared" si="8"/>
        <v>Infrastructure</v>
      </c>
      <c r="W161" s="10" t="s">
        <v>6</v>
      </c>
      <c r="X161" s="10" t="s">
        <v>86</v>
      </c>
      <c r="Y161" s="60"/>
      <c r="Z161" s="60"/>
      <c r="AA161" s="60"/>
      <c r="AB161" s="61">
        <f>_xlfn.XLOOKUP(TIDP[[#This Row],[ACTIVITY ID]],Baseline[Activity Code],Baseline[Finish],"",0)</f>
        <v>46621</v>
      </c>
      <c r="AC161" s="60"/>
      <c r="AD161" s="60"/>
      <c r="AE161" s="60"/>
      <c r="AF161" s="60"/>
      <c r="AG161" s="60"/>
      <c r="AH161" s="62"/>
    </row>
    <row r="162" spans="1:34" x14ac:dyDescent="0.25">
      <c r="A162" s="56" t="str">
        <f t="shared" si="10"/>
        <v>QF01012-NES-C04518-SDW-CIV-00-BLAD01-7ZZ7425</v>
      </c>
      <c r="B162" s="8" t="s">
        <v>354</v>
      </c>
      <c r="C162" s="57"/>
      <c r="D162" s="8" t="s">
        <v>70</v>
      </c>
      <c r="E162" s="8" t="s">
        <v>71</v>
      </c>
      <c r="F162" s="9" t="s">
        <v>284</v>
      </c>
      <c r="G162" s="9" t="s">
        <v>285</v>
      </c>
      <c r="H162" s="25">
        <v>46372</v>
      </c>
      <c r="I162" s="25" t="s">
        <v>333</v>
      </c>
      <c r="J162" s="9" t="s">
        <v>239</v>
      </c>
      <c r="K162" s="58"/>
      <c r="L162" s="9" t="s">
        <v>76</v>
      </c>
      <c r="M162" s="9" t="s">
        <v>77</v>
      </c>
      <c r="N162" s="9" t="s">
        <v>78</v>
      </c>
      <c r="O162" s="9" t="s">
        <v>79</v>
      </c>
      <c r="P162" s="9" t="s">
        <v>80</v>
      </c>
      <c r="Q162" s="9" t="s">
        <v>14</v>
      </c>
      <c r="R162" s="9" t="s">
        <v>82</v>
      </c>
      <c r="S162" s="9" t="s">
        <v>127</v>
      </c>
      <c r="T162" s="9" t="s">
        <v>117</v>
      </c>
      <c r="U162" s="58" t="s">
        <v>355</v>
      </c>
      <c r="V162" s="59" t="str">
        <f t="shared" si="8"/>
        <v>Infrastructure</v>
      </c>
      <c r="W162" s="10" t="s">
        <v>6</v>
      </c>
      <c r="X162" s="10" t="s">
        <v>86</v>
      </c>
      <c r="Y162" s="60"/>
      <c r="Z162" s="60"/>
      <c r="AA162" s="60"/>
      <c r="AB162" s="61">
        <f>_xlfn.XLOOKUP(TIDP[[#This Row],[ACTIVITY ID]],Baseline[Activity Code],Baseline[Finish],"",0)</f>
        <v>46621</v>
      </c>
      <c r="AC162" s="60"/>
      <c r="AD162" s="60"/>
      <c r="AE162" s="60"/>
      <c r="AF162" s="60"/>
      <c r="AG162" s="60"/>
      <c r="AH162" s="62"/>
    </row>
    <row r="163" spans="1:34" x14ac:dyDescent="0.25">
      <c r="A163" s="56" t="str">
        <f>CONCATENATE(TRIM(L163),"-",TRIM(M163),"-",TRIM(N163),"-",TRIM(O163),"-",TRIM(P163),"-",TRIM(Q163),"-",TRIM(R163),"-",TRIM(S163),TRIM(T163),TRIM(U163))</f>
        <v>QF01012-NES-C04518-SDW-CIV-00-BLAD04-7ZZ7426</v>
      </c>
      <c r="B163" s="8" t="s">
        <v>356</v>
      </c>
      <c r="C163" s="8"/>
      <c r="D163" s="8" t="s">
        <v>70</v>
      </c>
      <c r="E163" s="8" t="s">
        <v>71</v>
      </c>
      <c r="F163" s="9" t="s">
        <v>284</v>
      </c>
      <c r="G163" s="9" t="s">
        <v>285</v>
      </c>
      <c r="H163" s="25">
        <v>46372</v>
      </c>
      <c r="I163" s="25" t="s">
        <v>333</v>
      </c>
      <c r="J163" s="9" t="s">
        <v>239</v>
      </c>
      <c r="K163" s="58"/>
      <c r="L163" s="9" t="s">
        <v>76</v>
      </c>
      <c r="M163" s="9" t="s">
        <v>77</v>
      </c>
      <c r="N163" s="9" t="s">
        <v>78</v>
      </c>
      <c r="O163" s="9" t="s">
        <v>79</v>
      </c>
      <c r="P163" s="9" t="s">
        <v>80</v>
      </c>
      <c r="Q163" s="9" t="s">
        <v>14</v>
      </c>
      <c r="R163" s="9" t="s">
        <v>112</v>
      </c>
      <c r="S163" s="9" t="s">
        <v>127</v>
      </c>
      <c r="T163" s="9" t="s">
        <v>117</v>
      </c>
      <c r="U163" s="58" t="s">
        <v>357</v>
      </c>
      <c r="V163" s="59" t="str">
        <f>IF($B$6="","",$B$6)</f>
        <v>Infrastructure</v>
      </c>
      <c r="W163" s="10" t="s">
        <v>6</v>
      </c>
      <c r="X163" s="10" t="s">
        <v>86</v>
      </c>
      <c r="Y163" s="60"/>
      <c r="Z163" s="60"/>
      <c r="AA163" s="60"/>
      <c r="AB163" s="61">
        <f>_xlfn.XLOOKUP(TIDP[[#This Row],[ACTIVITY ID]],Baseline[Activity Code],Baseline[Finish],"",0)</f>
        <v>46621</v>
      </c>
      <c r="AC163" s="60"/>
      <c r="AD163" s="60"/>
      <c r="AE163" s="60"/>
      <c r="AF163" s="60"/>
      <c r="AG163" s="60"/>
      <c r="AH163" s="62"/>
    </row>
    <row r="164" spans="1:34" x14ac:dyDescent="0.25">
      <c r="A164" s="43" t="str">
        <f t="shared" ref="A164:A176" si="11">CONCATENATE(TRIM(L164),"-",TRIM(M164),"-",TRIM(N164),"-",TRIM(O164),"-",TRIM(P164),"-",TRIM(Q164),"-",TRIM(R164),"-",TRIM(S164),TRIM(T164),TRIM(U164))</f>
        <v>QF01012-NES-C04518-SDW-CIV-00-BLAD02-7ZZ7423</v>
      </c>
      <c r="B164" s="8" t="s">
        <v>350</v>
      </c>
      <c r="C164" s="8"/>
      <c r="D164" s="8" t="s">
        <v>70</v>
      </c>
      <c r="E164" s="8" t="s">
        <v>71</v>
      </c>
      <c r="F164" s="9" t="s">
        <v>284</v>
      </c>
      <c r="G164" s="9" t="s">
        <v>285</v>
      </c>
      <c r="H164" s="25">
        <v>46372</v>
      </c>
      <c r="I164" s="25" t="s">
        <v>333</v>
      </c>
      <c r="J164" s="9" t="s">
        <v>239</v>
      </c>
      <c r="K164" s="9"/>
      <c r="L164" s="9" t="s">
        <v>76</v>
      </c>
      <c r="M164" s="9" t="s">
        <v>77</v>
      </c>
      <c r="N164" s="9" t="s">
        <v>78</v>
      </c>
      <c r="O164" s="9" t="s">
        <v>79</v>
      </c>
      <c r="P164" s="9" t="s">
        <v>80</v>
      </c>
      <c r="Q164" s="9" t="s">
        <v>14</v>
      </c>
      <c r="R164" s="9" t="s">
        <v>100</v>
      </c>
      <c r="S164" s="9" t="s">
        <v>127</v>
      </c>
      <c r="T164" s="9" t="s">
        <v>117</v>
      </c>
      <c r="U164" s="9" t="s">
        <v>351</v>
      </c>
      <c r="V164" s="24" t="str">
        <f t="shared" ref="V164:V166" si="12">IF($B$6="","",$B$6)</f>
        <v>Infrastructure</v>
      </c>
      <c r="W164" s="10" t="s">
        <v>6</v>
      </c>
      <c r="X164" s="10" t="s">
        <v>86</v>
      </c>
      <c r="Y164" s="10"/>
      <c r="Z164" s="10"/>
      <c r="AA164" s="10"/>
      <c r="AB164" s="22">
        <v>46277</v>
      </c>
      <c r="AC164" s="10"/>
      <c r="AD164" s="10"/>
      <c r="AE164" s="10"/>
      <c r="AF164" s="10"/>
      <c r="AG164" s="10"/>
      <c r="AH164" s="11"/>
    </row>
    <row r="165" spans="1:34" x14ac:dyDescent="0.25">
      <c r="A165" s="43" t="str">
        <f t="shared" si="11"/>
        <v>QF01012-NES-C04518-SDW-CIV-00-BLAD02-7ZZ7424</v>
      </c>
      <c r="B165" s="8" t="s">
        <v>352</v>
      </c>
      <c r="C165" s="8"/>
      <c r="D165" s="8" t="s">
        <v>70</v>
      </c>
      <c r="E165" s="8" t="s">
        <v>71</v>
      </c>
      <c r="F165" s="9" t="s">
        <v>284</v>
      </c>
      <c r="G165" s="9" t="s">
        <v>285</v>
      </c>
      <c r="H165" s="25">
        <v>46372</v>
      </c>
      <c r="I165" s="25" t="s">
        <v>333</v>
      </c>
      <c r="J165" s="9" t="s">
        <v>239</v>
      </c>
      <c r="K165" s="9"/>
      <c r="L165" s="9" t="s">
        <v>76</v>
      </c>
      <c r="M165" s="9" t="s">
        <v>77</v>
      </c>
      <c r="N165" s="9" t="s">
        <v>78</v>
      </c>
      <c r="O165" s="9" t="s">
        <v>79</v>
      </c>
      <c r="P165" s="9" t="s">
        <v>80</v>
      </c>
      <c r="Q165" s="9" t="s">
        <v>14</v>
      </c>
      <c r="R165" s="9" t="s">
        <v>100</v>
      </c>
      <c r="S165" s="9" t="s">
        <v>127</v>
      </c>
      <c r="T165" s="9" t="s">
        <v>117</v>
      </c>
      <c r="U165" s="9" t="s">
        <v>353</v>
      </c>
      <c r="V165" s="24" t="str">
        <f t="shared" si="12"/>
        <v>Infrastructure</v>
      </c>
      <c r="W165" s="10" t="s">
        <v>6</v>
      </c>
      <c r="X165" s="10" t="s">
        <v>86</v>
      </c>
      <c r="Y165" s="10"/>
      <c r="Z165" s="10"/>
      <c r="AA165" s="10"/>
      <c r="AB165" s="22">
        <v>46277</v>
      </c>
      <c r="AC165" s="10"/>
      <c r="AD165" s="10"/>
      <c r="AE165" s="10"/>
      <c r="AF165" s="10"/>
      <c r="AG165" s="10"/>
      <c r="AH165" s="11"/>
    </row>
    <row r="166" spans="1:34" x14ac:dyDescent="0.25">
      <c r="A166" s="43" t="str">
        <f t="shared" si="11"/>
        <v>QF01012-NES-C04518-SDW-CIV-00-BLAD02-7ZZ7425</v>
      </c>
      <c r="B166" s="8" t="s">
        <v>354</v>
      </c>
      <c r="C166" s="57"/>
      <c r="D166" s="8" t="s">
        <v>70</v>
      </c>
      <c r="E166" s="8" t="s">
        <v>71</v>
      </c>
      <c r="F166" s="9" t="s">
        <v>284</v>
      </c>
      <c r="G166" s="9" t="s">
        <v>285</v>
      </c>
      <c r="H166" s="25">
        <v>46372</v>
      </c>
      <c r="I166" s="25" t="s">
        <v>333</v>
      </c>
      <c r="J166" s="58" t="s">
        <v>239</v>
      </c>
      <c r="K166" s="58"/>
      <c r="L166" s="58" t="s">
        <v>76</v>
      </c>
      <c r="M166" s="58" t="s">
        <v>77</v>
      </c>
      <c r="N166" s="58" t="s">
        <v>78</v>
      </c>
      <c r="O166" s="58" t="s">
        <v>79</v>
      </c>
      <c r="P166" s="58" t="s">
        <v>80</v>
      </c>
      <c r="Q166" s="58" t="s">
        <v>14</v>
      </c>
      <c r="R166" s="9" t="s">
        <v>100</v>
      </c>
      <c r="S166" s="9" t="s">
        <v>127</v>
      </c>
      <c r="T166" s="9" t="s">
        <v>117</v>
      </c>
      <c r="U166" s="9" t="s">
        <v>355</v>
      </c>
      <c r="V166" s="59" t="str">
        <f t="shared" si="12"/>
        <v>Infrastructure</v>
      </c>
      <c r="W166" s="60" t="s">
        <v>6</v>
      </c>
      <c r="X166" s="60" t="s">
        <v>86</v>
      </c>
      <c r="Y166" s="60"/>
      <c r="Z166" s="60"/>
      <c r="AA166" s="60"/>
      <c r="AB166" s="61">
        <v>46277</v>
      </c>
      <c r="AC166" s="60"/>
      <c r="AD166" s="60"/>
      <c r="AE166" s="60"/>
      <c r="AF166" s="60"/>
      <c r="AG166" s="60"/>
      <c r="AH166" s="62"/>
    </row>
    <row r="167" spans="1:34" x14ac:dyDescent="0.2">
      <c r="A167" s="43" t="str">
        <f t="shared" si="11"/>
        <v>QF01012-NES-C04518-SDW-CIV-05-Z00000-2ZZ0515</v>
      </c>
      <c r="B167" s="8" t="s">
        <v>358</v>
      </c>
      <c r="C167" s="64" t="s">
        <v>69</v>
      </c>
      <c r="D167" s="8" t="s">
        <v>70</v>
      </c>
      <c r="E167" s="8" t="s">
        <v>71</v>
      </c>
      <c r="F167" s="9" t="s">
        <v>72</v>
      </c>
      <c r="G167" s="9" t="s">
        <v>144</v>
      </c>
      <c r="H167" s="25">
        <v>46372</v>
      </c>
      <c r="I167" s="25" t="s">
        <v>323</v>
      </c>
      <c r="J167" s="58" t="s">
        <v>187</v>
      </c>
      <c r="K167" s="64" t="s">
        <v>359</v>
      </c>
      <c r="L167" s="58" t="s">
        <v>76</v>
      </c>
      <c r="M167" s="58" t="s">
        <v>77</v>
      </c>
      <c r="N167" s="58" t="s">
        <v>78</v>
      </c>
      <c r="O167" s="58" t="s">
        <v>79</v>
      </c>
      <c r="P167" s="58" t="s">
        <v>80</v>
      </c>
      <c r="Q167" s="58" t="s">
        <v>152</v>
      </c>
      <c r="R167" s="9" t="s">
        <v>115</v>
      </c>
      <c r="S167" s="9">
        <v>2</v>
      </c>
      <c r="T167" s="9" t="s">
        <v>117</v>
      </c>
      <c r="U167" s="9" t="s">
        <v>324</v>
      </c>
      <c r="V167" s="59" t="s">
        <v>8</v>
      </c>
      <c r="W167" s="60" t="s">
        <v>6</v>
      </c>
      <c r="X167" s="60" t="s">
        <v>86</v>
      </c>
      <c r="Y167" s="60" t="s">
        <v>359</v>
      </c>
      <c r="Z167" s="60" t="s">
        <v>359</v>
      </c>
      <c r="AA167" s="60" t="s">
        <v>359</v>
      </c>
      <c r="AB167" s="61">
        <f>_xlfn.XLOOKUP(TIDP[[#This Row],[ACTIVITY ID]],Baseline[Activity Code],Baseline[Finish],"",0)</f>
        <v>46425</v>
      </c>
      <c r="AC167" s="64" t="s">
        <v>359</v>
      </c>
      <c r="AD167" s="64" t="s">
        <v>359</v>
      </c>
      <c r="AE167" s="64" t="s">
        <v>359</v>
      </c>
      <c r="AF167" s="64" t="s">
        <v>359</v>
      </c>
      <c r="AG167" s="64" t="s">
        <v>359</v>
      </c>
      <c r="AH167" s="65" t="s">
        <v>359</v>
      </c>
    </row>
    <row r="168" spans="1:34" x14ac:dyDescent="0.2">
      <c r="A168" s="43" t="str">
        <f t="shared" si="11"/>
        <v>QF01012-NES-C04518-SDW-CIV-06-Z00000-3FL0516</v>
      </c>
      <c r="B168" s="8" t="s">
        <v>360</v>
      </c>
      <c r="C168" s="64" t="s">
        <v>69</v>
      </c>
      <c r="D168" s="8" t="s">
        <v>70</v>
      </c>
      <c r="E168" s="8" t="s">
        <v>71</v>
      </c>
      <c r="F168" s="9" t="s">
        <v>72</v>
      </c>
      <c r="G168" s="9" t="s">
        <v>144</v>
      </c>
      <c r="H168" s="25">
        <v>46372</v>
      </c>
      <c r="I168" s="25" t="s">
        <v>323</v>
      </c>
      <c r="J168" s="58" t="s">
        <v>187</v>
      </c>
      <c r="K168" s="64" t="s">
        <v>359</v>
      </c>
      <c r="L168" s="58" t="s">
        <v>76</v>
      </c>
      <c r="M168" s="58" t="s">
        <v>77</v>
      </c>
      <c r="N168" s="58" t="s">
        <v>78</v>
      </c>
      <c r="O168" s="58" t="s">
        <v>79</v>
      </c>
      <c r="P168" s="58" t="s">
        <v>80</v>
      </c>
      <c r="Q168" s="58" t="s">
        <v>155</v>
      </c>
      <c r="R168" s="9" t="s">
        <v>115</v>
      </c>
      <c r="S168" s="9">
        <v>3</v>
      </c>
      <c r="T168" s="9" t="s">
        <v>84</v>
      </c>
      <c r="U168" s="9" t="s">
        <v>361</v>
      </c>
      <c r="V168" s="59" t="s">
        <v>8</v>
      </c>
      <c r="W168" s="60" t="s">
        <v>6</v>
      </c>
      <c r="X168" s="60" t="s">
        <v>86</v>
      </c>
      <c r="Y168" s="60" t="s">
        <v>359</v>
      </c>
      <c r="Z168" s="60" t="s">
        <v>359</v>
      </c>
      <c r="AA168" s="60" t="s">
        <v>359</v>
      </c>
      <c r="AB168" s="61">
        <f>_xlfn.XLOOKUP(TIDP[[#This Row],[ACTIVITY ID]],Baseline[Activity Code],Baseline[Finish],"",0)</f>
        <v>46425</v>
      </c>
      <c r="AC168" s="64" t="s">
        <v>359</v>
      </c>
      <c r="AD168" s="64" t="s">
        <v>359</v>
      </c>
      <c r="AE168" s="64" t="s">
        <v>359</v>
      </c>
      <c r="AF168" s="64" t="s">
        <v>359</v>
      </c>
      <c r="AG168" s="64" t="s">
        <v>359</v>
      </c>
      <c r="AH168" s="65" t="s">
        <v>359</v>
      </c>
    </row>
    <row r="169" spans="1:34" x14ac:dyDescent="0.2">
      <c r="A169" s="43" t="str">
        <f t="shared" si="11"/>
        <v>QF01012-NES-C04518-SDW-CIV-01-Z00000-2ZZ0521</v>
      </c>
      <c r="B169" s="8" t="s">
        <v>362</v>
      </c>
      <c r="C169" s="64" t="s">
        <v>69</v>
      </c>
      <c r="D169" s="8" t="s">
        <v>70</v>
      </c>
      <c r="E169" s="8" t="s">
        <v>71</v>
      </c>
      <c r="F169" s="9" t="s">
        <v>72</v>
      </c>
      <c r="G169" s="9" t="s">
        <v>144</v>
      </c>
      <c r="H169" s="25">
        <v>46372</v>
      </c>
      <c r="I169" s="25" t="s">
        <v>323</v>
      </c>
      <c r="J169" s="58" t="s">
        <v>187</v>
      </c>
      <c r="K169" s="64" t="s">
        <v>359</v>
      </c>
      <c r="L169" s="58" t="s">
        <v>76</v>
      </c>
      <c r="M169" s="58" t="s">
        <v>77</v>
      </c>
      <c r="N169" s="58" t="s">
        <v>78</v>
      </c>
      <c r="O169" s="58" t="s">
        <v>79</v>
      </c>
      <c r="P169" s="58" t="s">
        <v>80</v>
      </c>
      <c r="Q169" s="58" t="s">
        <v>81</v>
      </c>
      <c r="R169" s="9" t="s">
        <v>115</v>
      </c>
      <c r="S169" s="9">
        <v>2</v>
      </c>
      <c r="T169" s="9" t="s">
        <v>117</v>
      </c>
      <c r="U169" s="9" t="s">
        <v>363</v>
      </c>
      <c r="V169" s="59" t="s">
        <v>8</v>
      </c>
      <c r="W169" s="60" t="s">
        <v>6</v>
      </c>
      <c r="X169" s="60" t="s">
        <v>86</v>
      </c>
      <c r="Y169" s="60" t="s">
        <v>359</v>
      </c>
      <c r="Z169" s="60" t="s">
        <v>359</v>
      </c>
      <c r="AA169" s="60" t="s">
        <v>359</v>
      </c>
      <c r="AB169" s="61">
        <f>_xlfn.XLOOKUP(TIDP[[#This Row],[ACTIVITY ID]],Baseline[Activity Code],Baseline[Finish],"",0)</f>
        <v>46425</v>
      </c>
      <c r="AC169" s="64" t="s">
        <v>359</v>
      </c>
      <c r="AD169" s="64" t="s">
        <v>359</v>
      </c>
      <c r="AE169" s="64" t="s">
        <v>359</v>
      </c>
      <c r="AF169" s="64" t="s">
        <v>359</v>
      </c>
      <c r="AG169" s="64" t="s">
        <v>359</v>
      </c>
      <c r="AH169" s="65" t="s">
        <v>359</v>
      </c>
    </row>
    <row r="170" spans="1:34" x14ac:dyDescent="0.2">
      <c r="A170" s="43" t="str">
        <f t="shared" si="11"/>
        <v>QF01012-NES-C04518-SDW-CIV-02-Z00000-3FL0522</v>
      </c>
      <c r="B170" s="8" t="s">
        <v>364</v>
      </c>
      <c r="C170" s="64" t="s">
        <v>69</v>
      </c>
      <c r="D170" s="8" t="s">
        <v>70</v>
      </c>
      <c r="E170" s="8" t="s">
        <v>71</v>
      </c>
      <c r="F170" s="9" t="s">
        <v>72</v>
      </c>
      <c r="G170" s="9" t="s">
        <v>144</v>
      </c>
      <c r="H170" s="25">
        <v>46372</v>
      </c>
      <c r="I170" s="25" t="s">
        <v>323</v>
      </c>
      <c r="J170" s="58" t="s">
        <v>187</v>
      </c>
      <c r="K170" s="64" t="s">
        <v>359</v>
      </c>
      <c r="L170" s="58" t="s">
        <v>76</v>
      </c>
      <c r="M170" s="58" t="s">
        <v>77</v>
      </c>
      <c r="N170" s="58" t="s">
        <v>78</v>
      </c>
      <c r="O170" s="58" t="s">
        <v>79</v>
      </c>
      <c r="P170" s="58" t="s">
        <v>80</v>
      </c>
      <c r="Q170" s="58" t="s">
        <v>91</v>
      </c>
      <c r="R170" s="9" t="s">
        <v>115</v>
      </c>
      <c r="S170" s="9">
        <v>3</v>
      </c>
      <c r="T170" s="9" t="s">
        <v>84</v>
      </c>
      <c r="U170" s="9" t="s">
        <v>326</v>
      </c>
      <c r="V170" s="59" t="s">
        <v>8</v>
      </c>
      <c r="W170" s="60" t="s">
        <v>6</v>
      </c>
      <c r="X170" s="60" t="s">
        <v>86</v>
      </c>
      <c r="Y170" s="60" t="s">
        <v>359</v>
      </c>
      <c r="Z170" s="60" t="s">
        <v>359</v>
      </c>
      <c r="AA170" s="60" t="s">
        <v>359</v>
      </c>
      <c r="AB170" s="61">
        <f>_xlfn.XLOOKUP(TIDP[[#This Row],[ACTIVITY ID]],Baseline[Activity Code],Baseline[Finish],"",0)</f>
        <v>46425</v>
      </c>
      <c r="AC170" s="64" t="s">
        <v>359</v>
      </c>
      <c r="AD170" s="64" t="s">
        <v>359</v>
      </c>
      <c r="AE170" s="64" t="s">
        <v>359</v>
      </c>
      <c r="AF170" s="64" t="s">
        <v>359</v>
      </c>
      <c r="AG170" s="64" t="s">
        <v>359</v>
      </c>
      <c r="AH170" s="65" t="s">
        <v>359</v>
      </c>
    </row>
    <row r="171" spans="1:34" x14ac:dyDescent="0.2">
      <c r="A171" s="43" t="str">
        <f t="shared" si="11"/>
        <v>QF01012-NES-C04518-SDW-CIV-03-Z00000-3FL0523</v>
      </c>
      <c r="B171" s="8" t="s">
        <v>365</v>
      </c>
      <c r="C171" s="64" t="s">
        <v>69</v>
      </c>
      <c r="D171" s="8" t="s">
        <v>70</v>
      </c>
      <c r="E171" s="8" t="s">
        <v>71</v>
      </c>
      <c r="F171" s="9" t="s">
        <v>72</v>
      </c>
      <c r="G171" s="9" t="s">
        <v>144</v>
      </c>
      <c r="H171" s="25">
        <v>46372</v>
      </c>
      <c r="I171" s="25" t="s">
        <v>323</v>
      </c>
      <c r="J171" s="58" t="s">
        <v>187</v>
      </c>
      <c r="K171" s="64" t="s">
        <v>359</v>
      </c>
      <c r="L171" s="58" t="s">
        <v>76</v>
      </c>
      <c r="M171" s="58" t="s">
        <v>77</v>
      </c>
      <c r="N171" s="58" t="s">
        <v>78</v>
      </c>
      <c r="O171" s="58" t="s">
        <v>79</v>
      </c>
      <c r="P171" s="58" t="s">
        <v>80</v>
      </c>
      <c r="Q171" s="58" t="s">
        <v>94</v>
      </c>
      <c r="R171" s="9" t="s">
        <v>115</v>
      </c>
      <c r="S171" s="9">
        <v>3</v>
      </c>
      <c r="T171" s="9" t="s">
        <v>84</v>
      </c>
      <c r="U171" s="9" t="s">
        <v>327</v>
      </c>
      <c r="V171" s="59" t="s">
        <v>8</v>
      </c>
      <c r="W171" s="60" t="s">
        <v>6</v>
      </c>
      <c r="X171" s="60" t="s">
        <v>86</v>
      </c>
      <c r="Y171" s="60" t="s">
        <v>359</v>
      </c>
      <c r="Z171" s="60" t="s">
        <v>359</v>
      </c>
      <c r="AA171" s="60" t="s">
        <v>359</v>
      </c>
      <c r="AB171" s="61">
        <f>_xlfn.XLOOKUP(TIDP[[#This Row],[ACTIVITY ID]],Baseline[Activity Code],Baseline[Finish],"",0)</f>
        <v>46425</v>
      </c>
      <c r="AC171" s="64" t="s">
        <v>359</v>
      </c>
      <c r="AD171" s="64" t="s">
        <v>359</v>
      </c>
      <c r="AE171" s="64" t="s">
        <v>359</v>
      </c>
      <c r="AF171" s="64" t="s">
        <v>359</v>
      </c>
      <c r="AG171" s="64" t="s">
        <v>359</v>
      </c>
      <c r="AH171" s="65" t="s">
        <v>359</v>
      </c>
    </row>
    <row r="172" spans="1:34" x14ac:dyDescent="0.2">
      <c r="A172" s="43" t="str">
        <f t="shared" si="11"/>
        <v>QF01012-NES-C04518-SDW-CIV-04-Z00000-3FL0524</v>
      </c>
      <c r="B172" s="8" t="s">
        <v>366</v>
      </c>
      <c r="C172" s="64" t="s">
        <v>69</v>
      </c>
      <c r="D172" s="8" t="s">
        <v>70</v>
      </c>
      <c r="E172" s="8" t="s">
        <v>71</v>
      </c>
      <c r="F172" s="9" t="s">
        <v>72</v>
      </c>
      <c r="G172" s="9" t="s">
        <v>144</v>
      </c>
      <c r="H172" s="25">
        <v>46372</v>
      </c>
      <c r="I172" s="25" t="s">
        <v>323</v>
      </c>
      <c r="J172" s="58" t="s">
        <v>187</v>
      </c>
      <c r="K172" s="64" t="s">
        <v>359</v>
      </c>
      <c r="L172" s="58" t="s">
        <v>76</v>
      </c>
      <c r="M172" s="58" t="s">
        <v>77</v>
      </c>
      <c r="N172" s="58" t="s">
        <v>78</v>
      </c>
      <c r="O172" s="58" t="s">
        <v>79</v>
      </c>
      <c r="P172" s="58" t="s">
        <v>80</v>
      </c>
      <c r="Q172" s="58" t="s">
        <v>97</v>
      </c>
      <c r="R172" s="9" t="s">
        <v>115</v>
      </c>
      <c r="S172" s="9">
        <v>3</v>
      </c>
      <c r="T172" s="9" t="s">
        <v>84</v>
      </c>
      <c r="U172" s="9" t="s">
        <v>328</v>
      </c>
      <c r="V172" s="59" t="s">
        <v>8</v>
      </c>
      <c r="W172" s="60" t="s">
        <v>6</v>
      </c>
      <c r="X172" s="60" t="s">
        <v>86</v>
      </c>
      <c r="Y172" s="60" t="s">
        <v>359</v>
      </c>
      <c r="Z172" s="60" t="s">
        <v>359</v>
      </c>
      <c r="AA172" s="60" t="s">
        <v>359</v>
      </c>
      <c r="AB172" s="61">
        <f>_xlfn.XLOOKUP(TIDP[[#This Row],[ACTIVITY ID]],Baseline[Activity Code],Baseline[Finish],"",0)</f>
        <v>46425</v>
      </c>
      <c r="AC172" s="64" t="s">
        <v>359</v>
      </c>
      <c r="AD172" s="64" t="s">
        <v>359</v>
      </c>
      <c r="AE172" s="64" t="s">
        <v>359</v>
      </c>
      <c r="AF172" s="64" t="s">
        <v>359</v>
      </c>
      <c r="AG172" s="64" t="s">
        <v>359</v>
      </c>
      <c r="AH172" s="65" t="s">
        <v>359</v>
      </c>
    </row>
    <row r="173" spans="1:34" x14ac:dyDescent="0.2">
      <c r="A173" s="43" t="str">
        <f t="shared" si="11"/>
        <v>QF01012-NES-C04518-SDW-CIV-07-Z00000-2FL0527</v>
      </c>
      <c r="B173" s="8" t="s">
        <v>367</v>
      </c>
      <c r="C173" s="64" t="s">
        <v>69</v>
      </c>
      <c r="D173" s="8" t="s">
        <v>70</v>
      </c>
      <c r="E173" s="8" t="s">
        <v>71</v>
      </c>
      <c r="F173" s="9" t="s">
        <v>72</v>
      </c>
      <c r="G173" s="9" t="s">
        <v>144</v>
      </c>
      <c r="H173" s="25">
        <v>46372</v>
      </c>
      <c r="I173" s="25" t="s">
        <v>323</v>
      </c>
      <c r="J173" s="58" t="s">
        <v>187</v>
      </c>
      <c r="K173" s="64" t="s">
        <v>359</v>
      </c>
      <c r="L173" s="58" t="s">
        <v>76</v>
      </c>
      <c r="M173" s="58" t="s">
        <v>77</v>
      </c>
      <c r="N173" s="58" t="s">
        <v>78</v>
      </c>
      <c r="O173" s="58" t="s">
        <v>79</v>
      </c>
      <c r="P173" s="58" t="s">
        <v>80</v>
      </c>
      <c r="Q173" s="58" t="s">
        <v>167</v>
      </c>
      <c r="R173" s="9" t="s">
        <v>115</v>
      </c>
      <c r="S173" s="9">
        <v>2</v>
      </c>
      <c r="T173" s="9" t="s">
        <v>84</v>
      </c>
      <c r="U173" s="9" t="s">
        <v>329</v>
      </c>
      <c r="V173" s="59" t="s">
        <v>8</v>
      </c>
      <c r="W173" s="60" t="s">
        <v>6</v>
      </c>
      <c r="X173" s="60" t="s">
        <v>86</v>
      </c>
      <c r="Y173" s="60" t="s">
        <v>359</v>
      </c>
      <c r="Z173" s="60" t="s">
        <v>359</v>
      </c>
      <c r="AA173" s="60" t="s">
        <v>359</v>
      </c>
      <c r="AB173" s="61">
        <f>_xlfn.XLOOKUP(TIDP[[#This Row],[ACTIVITY ID]],Baseline[Activity Code],Baseline[Finish],"",0)</f>
        <v>46425</v>
      </c>
      <c r="AC173" s="64" t="s">
        <v>359</v>
      </c>
      <c r="AD173" s="64" t="s">
        <v>359</v>
      </c>
      <c r="AE173" s="64" t="s">
        <v>359</v>
      </c>
      <c r="AF173" s="64" t="s">
        <v>359</v>
      </c>
      <c r="AG173" s="64" t="s">
        <v>359</v>
      </c>
      <c r="AH173" s="65" t="s">
        <v>359</v>
      </c>
    </row>
    <row r="174" spans="1:34" x14ac:dyDescent="0.2">
      <c r="A174" s="43" t="str">
        <f t="shared" si="11"/>
        <v>QF01012-NES-C04518-SDW-CIV-08-Z00000-2FL0528</v>
      </c>
      <c r="B174" s="8" t="s">
        <v>368</v>
      </c>
      <c r="C174" s="64" t="s">
        <v>69</v>
      </c>
      <c r="D174" s="8" t="s">
        <v>70</v>
      </c>
      <c r="E174" s="8" t="s">
        <v>71</v>
      </c>
      <c r="F174" s="9" t="s">
        <v>72</v>
      </c>
      <c r="G174" s="9" t="s">
        <v>144</v>
      </c>
      <c r="H174" s="25">
        <v>46372</v>
      </c>
      <c r="I174" s="25" t="s">
        <v>323</v>
      </c>
      <c r="J174" s="58" t="s">
        <v>187</v>
      </c>
      <c r="K174" s="64" t="s">
        <v>359</v>
      </c>
      <c r="L174" s="58" t="s">
        <v>76</v>
      </c>
      <c r="M174" s="58" t="s">
        <v>77</v>
      </c>
      <c r="N174" s="58" t="s">
        <v>78</v>
      </c>
      <c r="O174" s="58" t="s">
        <v>79</v>
      </c>
      <c r="P174" s="58" t="s">
        <v>80</v>
      </c>
      <c r="Q174" s="58" t="s">
        <v>170</v>
      </c>
      <c r="R174" s="9" t="s">
        <v>115</v>
      </c>
      <c r="S174" s="9">
        <v>2</v>
      </c>
      <c r="T174" s="9" t="s">
        <v>84</v>
      </c>
      <c r="U174" s="9" t="s">
        <v>330</v>
      </c>
      <c r="V174" s="59" t="s">
        <v>8</v>
      </c>
      <c r="W174" s="60" t="s">
        <v>6</v>
      </c>
      <c r="X174" s="60" t="s">
        <v>86</v>
      </c>
      <c r="Y174" s="60" t="s">
        <v>359</v>
      </c>
      <c r="Z174" s="60" t="s">
        <v>359</v>
      </c>
      <c r="AA174" s="60" t="s">
        <v>359</v>
      </c>
      <c r="AB174" s="61">
        <f>_xlfn.XLOOKUP(TIDP[[#This Row],[ACTIVITY ID]],Baseline[Activity Code],Baseline[Finish],"",0)</f>
        <v>46425</v>
      </c>
      <c r="AC174" s="64" t="s">
        <v>359</v>
      </c>
      <c r="AD174" s="64" t="s">
        <v>359</v>
      </c>
      <c r="AE174" s="64" t="s">
        <v>359</v>
      </c>
      <c r="AF174" s="64" t="s">
        <v>359</v>
      </c>
      <c r="AG174" s="64" t="s">
        <v>359</v>
      </c>
      <c r="AH174" s="65" t="s">
        <v>359</v>
      </c>
    </row>
    <row r="175" spans="1:34" x14ac:dyDescent="0.2">
      <c r="A175" s="43" t="str">
        <f t="shared" si="11"/>
        <v>QF01012-NES-C04518-SDW-CIV-09-Z00000-2FL0529</v>
      </c>
      <c r="B175" s="8" t="s">
        <v>369</v>
      </c>
      <c r="C175" s="64" t="s">
        <v>69</v>
      </c>
      <c r="D175" s="8" t="s">
        <v>70</v>
      </c>
      <c r="E175" s="8" t="s">
        <v>71</v>
      </c>
      <c r="F175" s="9" t="s">
        <v>72</v>
      </c>
      <c r="G175" s="9" t="s">
        <v>144</v>
      </c>
      <c r="H175" s="25">
        <v>46372</v>
      </c>
      <c r="I175" s="25" t="s">
        <v>323</v>
      </c>
      <c r="J175" s="58" t="s">
        <v>187</v>
      </c>
      <c r="K175" s="64" t="s">
        <v>359</v>
      </c>
      <c r="L175" s="58" t="s">
        <v>76</v>
      </c>
      <c r="M175" s="58" t="s">
        <v>77</v>
      </c>
      <c r="N175" s="58" t="s">
        <v>78</v>
      </c>
      <c r="O175" s="58" t="s">
        <v>79</v>
      </c>
      <c r="P175" s="58" t="s">
        <v>80</v>
      </c>
      <c r="Q175" s="58" t="s">
        <v>173</v>
      </c>
      <c r="R175" s="9" t="s">
        <v>115</v>
      </c>
      <c r="S175" s="9">
        <v>2</v>
      </c>
      <c r="T175" s="9" t="s">
        <v>84</v>
      </c>
      <c r="U175" s="9" t="s">
        <v>331</v>
      </c>
      <c r="V175" s="59" t="s">
        <v>8</v>
      </c>
      <c r="W175" s="60" t="s">
        <v>6</v>
      </c>
      <c r="X175" s="60" t="s">
        <v>86</v>
      </c>
      <c r="Y175" s="60" t="s">
        <v>359</v>
      </c>
      <c r="Z175" s="60" t="s">
        <v>359</v>
      </c>
      <c r="AA175" s="60" t="s">
        <v>359</v>
      </c>
      <c r="AB175" s="61">
        <f>_xlfn.XLOOKUP(TIDP[[#This Row],[ACTIVITY ID]],Baseline[Activity Code],Baseline[Finish],"",0)</f>
        <v>46425</v>
      </c>
      <c r="AC175" s="64" t="s">
        <v>359</v>
      </c>
      <c r="AD175" s="64" t="s">
        <v>359</v>
      </c>
      <c r="AE175" s="64" t="s">
        <v>359</v>
      </c>
      <c r="AF175" s="64" t="s">
        <v>359</v>
      </c>
      <c r="AG175" s="64" t="s">
        <v>359</v>
      </c>
      <c r="AH175" s="65" t="s">
        <v>359</v>
      </c>
    </row>
    <row r="176" spans="1:34" x14ac:dyDescent="0.2">
      <c r="A176" s="43" t="str">
        <f t="shared" si="11"/>
        <v>QF01012-NES-C04518-SDW-CIV-10-Z00000-2FL0530</v>
      </c>
      <c r="B176" s="8" t="s">
        <v>370</v>
      </c>
      <c r="C176" s="64" t="s">
        <v>69</v>
      </c>
      <c r="D176" s="8" t="s">
        <v>70</v>
      </c>
      <c r="E176" s="8" t="s">
        <v>71</v>
      </c>
      <c r="F176" s="9" t="s">
        <v>72</v>
      </c>
      <c r="G176" s="9" t="s">
        <v>144</v>
      </c>
      <c r="H176" s="25">
        <v>46372</v>
      </c>
      <c r="I176" s="25" t="s">
        <v>323</v>
      </c>
      <c r="J176" s="58" t="s">
        <v>187</v>
      </c>
      <c r="K176" s="64" t="s">
        <v>359</v>
      </c>
      <c r="L176" s="58" t="s">
        <v>76</v>
      </c>
      <c r="M176" s="58" t="s">
        <v>77</v>
      </c>
      <c r="N176" s="58" t="s">
        <v>78</v>
      </c>
      <c r="O176" s="58" t="s">
        <v>79</v>
      </c>
      <c r="P176" s="58" t="s">
        <v>80</v>
      </c>
      <c r="Q176" s="58">
        <v>10</v>
      </c>
      <c r="R176" s="9" t="s">
        <v>115</v>
      </c>
      <c r="S176" s="9">
        <v>2</v>
      </c>
      <c r="T176" s="9" t="s">
        <v>84</v>
      </c>
      <c r="U176" s="9" t="s">
        <v>371</v>
      </c>
      <c r="V176" s="59" t="s">
        <v>8</v>
      </c>
      <c r="W176" s="60" t="s">
        <v>6</v>
      </c>
      <c r="X176" s="60" t="s">
        <v>86</v>
      </c>
      <c r="Y176" s="60" t="s">
        <v>359</v>
      </c>
      <c r="Z176" s="60" t="s">
        <v>359</v>
      </c>
      <c r="AA176" s="60" t="s">
        <v>359</v>
      </c>
      <c r="AB176" s="61">
        <f>_xlfn.XLOOKUP(TIDP[[#This Row],[ACTIVITY ID]],Baseline[Activity Code],Baseline[Finish],"",0)</f>
        <v>46425</v>
      </c>
      <c r="AC176" s="64" t="s">
        <v>359</v>
      </c>
      <c r="AD176" s="64" t="s">
        <v>359</v>
      </c>
      <c r="AE176" s="64" t="s">
        <v>359</v>
      </c>
      <c r="AF176" s="64" t="s">
        <v>359</v>
      </c>
      <c r="AG176" s="64" t="s">
        <v>359</v>
      </c>
      <c r="AH176" s="65" t="s">
        <v>359</v>
      </c>
    </row>
    <row r="177" spans="1:34" x14ac:dyDescent="0.2">
      <c r="A177" s="43" t="str">
        <f>CONCATENATE(TRIM(L177),"-",TRIM(M177),"-",TRIM(N177),"-",TRIM(O177),"-",TRIM(P177),"-",TRIM(Q177),"-",TRIM(R177),"-",TRIM(S177),TRIM(T177),TRIM(U177))</f>
        <v>QF01012-NES-C04518-SDW-CIV-00-Z00000-2ZZ0600</v>
      </c>
      <c r="B177" s="8" t="s">
        <v>2673</v>
      </c>
      <c r="C177" s="64" t="s">
        <v>2719</v>
      </c>
      <c r="D177" s="8" t="s">
        <v>70</v>
      </c>
      <c r="E177" s="8" t="s">
        <v>71</v>
      </c>
      <c r="F177" s="9" t="s">
        <v>72</v>
      </c>
      <c r="G177" s="9" t="s">
        <v>144</v>
      </c>
      <c r="H177" s="25">
        <v>46372</v>
      </c>
      <c r="I177" s="25" t="s">
        <v>186</v>
      </c>
      <c r="J177" s="9"/>
      <c r="K177" s="9"/>
      <c r="L177" s="9" t="s">
        <v>76</v>
      </c>
      <c r="M177" s="9" t="s">
        <v>77</v>
      </c>
      <c r="N177" s="9" t="s">
        <v>78</v>
      </c>
      <c r="O177" s="9" t="s">
        <v>79</v>
      </c>
      <c r="P177" s="9" t="s">
        <v>80</v>
      </c>
      <c r="Q177" s="9" t="s">
        <v>14</v>
      </c>
      <c r="R177" s="9" t="s">
        <v>115</v>
      </c>
      <c r="S177" s="9" t="s">
        <v>83</v>
      </c>
      <c r="T177" s="9" t="s">
        <v>117</v>
      </c>
      <c r="U177" s="9" t="s">
        <v>2720</v>
      </c>
      <c r="V177" s="24" t="str">
        <f t="shared" ref="V177:V222" si="13">IF($B$6="","",$B$6)</f>
        <v>Infrastructure</v>
      </c>
      <c r="W177" s="10" t="s">
        <v>6</v>
      </c>
      <c r="X177" s="10" t="s">
        <v>86</v>
      </c>
      <c r="Y177" s="10"/>
      <c r="Z177" s="10"/>
      <c r="AA177" s="10"/>
      <c r="AB177" s="61" t="str">
        <f>_xlfn.XLOOKUP(TIDP[[#This Row],[ACTIVITY ID]],Baseline[Activity Code],Baseline[Finish],"",0)</f>
        <v/>
      </c>
      <c r="AC177" s="10"/>
      <c r="AD177" s="10"/>
      <c r="AE177" s="10"/>
      <c r="AF177" s="10"/>
      <c r="AG177" s="10"/>
      <c r="AH177" s="11"/>
    </row>
    <row r="178" spans="1:34" x14ac:dyDescent="0.2">
      <c r="A178" s="43" t="str">
        <f>CONCATENATE(TRIM(L178),"-",TRIM(M178),"-",TRIM(N178),"-",TRIM(O178),"-",TRIM(P178),"-",TRIM(Q178),"-",TRIM(R178),"-",TRIM(S178),TRIM(T178),TRIM(U178))</f>
        <v>QF01012-NES-C04518-SDW-CIV-01-Z00000-2FL0601</v>
      </c>
      <c r="B178" s="8" t="s">
        <v>2674</v>
      </c>
      <c r="C178" s="64" t="s">
        <v>2719</v>
      </c>
      <c r="D178" s="8" t="s">
        <v>70</v>
      </c>
      <c r="E178" s="8" t="s">
        <v>71</v>
      </c>
      <c r="F178" s="9" t="s">
        <v>72</v>
      </c>
      <c r="G178" s="9" t="s">
        <v>144</v>
      </c>
      <c r="H178" s="25">
        <v>46372</v>
      </c>
      <c r="I178" s="25" t="s">
        <v>186</v>
      </c>
      <c r="J178" s="9"/>
      <c r="K178" s="9"/>
      <c r="L178" s="9" t="s">
        <v>76</v>
      </c>
      <c r="M178" s="9" t="s">
        <v>77</v>
      </c>
      <c r="N178" s="9" t="s">
        <v>78</v>
      </c>
      <c r="O178" s="9" t="s">
        <v>79</v>
      </c>
      <c r="P178" s="9" t="s">
        <v>80</v>
      </c>
      <c r="Q178" s="9" t="s">
        <v>81</v>
      </c>
      <c r="R178" s="9" t="s">
        <v>115</v>
      </c>
      <c r="S178" s="9" t="s">
        <v>83</v>
      </c>
      <c r="T178" s="9" t="s">
        <v>84</v>
      </c>
      <c r="U178" s="9" t="s">
        <v>2721</v>
      </c>
      <c r="V178" s="24" t="str">
        <f t="shared" si="13"/>
        <v>Infrastructure</v>
      </c>
      <c r="W178" s="10" t="s">
        <v>6</v>
      </c>
      <c r="X178" s="10" t="s">
        <v>86</v>
      </c>
      <c r="Y178" s="10"/>
      <c r="Z178" s="10"/>
      <c r="AA178" s="10"/>
      <c r="AB178" s="61" t="str">
        <f>_xlfn.XLOOKUP(TIDP[[#This Row],[ACTIVITY ID]],Baseline[Activity Code],Baseline[Finish],"",0)</f>
        <v/>
      </c>
      <c r="AC178" s="10"/>
      <c r="AD178" s="10"/>
      <c r="AE178" s="10"/>
      <c r="AF178" s="10"/>
      <c r="AG178" s="10"/>
      <c r="AH178" s="11"/>
    </row>
    <row r="179" spans="1:34" x14ac:dyDescent="0.2">
      <c r="A179" s="93" t="str">
        <f t="shared" ref="A179:A205" si="14">CONCATENATE(TRIM(L179),"-",TRIM(M179),"-",TRIM(N179),"-",TRIM(O179),"-",TRIM(P179),"-",TRIM(Q179),"-",TRIM(R179),"-",TRIM(S179),TRIM(T179),TRIM(U179))</f>
        <v>QF01012-NES-C04518-SDW-CIV-02-Z00000-2FL0602</v>
      </c>
      <c r="B179" s="8" t="s">
        <v>2675</v>
      </c>
      <c r="C179" s="64" t="s">
        <v>2719</v>
      </c>
      <c r="D179" s="8" t="s">
        <v>70</v>
      </c>
      <c r="E179" s="8" t="s">
        <v>71</v>
      </c>
      <c r="F179" s="9" t="s">
        <v>72</v>
      </c>
      <c r="G179" s="9" t="s">
        <v>144</v>
      </c>
      <c r="H179" s="25">
        <v>46372</v>
      </c>
      <c r="I179" s="25" t="s">
        <v>186</v>
      </c>
      <c r="J179" s="9"/>
      <c r="K179" s="9"/>
      <c r="L179" s="9" t="s">
        <v>76</v>
      </c>
      <c r="M179" s="9" t="s">
        <v>77</v>
      </c>
      <c r="N179" s="9" t="s">
        <v>78</v>
      </c>
      <c r="O179" s="9" t="s">
        <v>79</v>
      </c>
      <c r="P179" s="9" t="s">
        <v>80</v>
      </c>
      <c r="Q179" s="9" t="s">
        <v>91</v>
      </c>
      <c r="R179" s="9" t="s">
        <v>115</v>
      </c>
      <c r="S179" s="9" t="s">
        <v>83</v>
      </c>
      <c r="T179" s="9" t="s">
        <v>84</v>
      </c>
      <c r="U179" s="9" t="s">
        <v>2722</v>
      </c>
      <c r="V179" s="24" t="str">
        <f t="shared" si="13"/>
        <v>Infrastructure</v>
      </c>
      <c r="W179" s="10" t="s">
        <v>6</v>
      </c>
      <c r="X179" s="10" t="s">
        <v>86</v>
      </c>
      <c r="Y179" s="10"/>
      <c r="Z179" s="10"/>
      <c r="AA179" s="10"/>
      <c r="AB179" s="61" t="str">
        <f>_xlfn.XLOOKUP(TIDP[[#This Row],[ACTIVITY ID]],Baseline[Activity Code],Baseline[Finish],"",0)</f>
        <v/>
      </c>
      <c r="AC179" s="10"/>
      <c r="AD179" s="10"/>
      <c r="AE179" s="10"/>
      <c r="AF179" s="10"/>
      <c r="AG179" s="10"/>
      <c r="AH179" s="11"/>
    </row>
    <row r="180" spans="1:34" x14ac:dyDescent="0.2">
      <c r="A180" s="93" t="str">
        <f t="shared" si="14"/>
        <v>QF01012-NES-C04518-SDW-CIV-03-Z00000-2FL0603</v>
      </c>
      <c r="B180" s="8" t="s">
        <v>2676</v>
      </c>
      <c r="C180" s="64" t="s">
        <v>2719</v>
      </c>
      <c r="D180" s="8" t="s">
        <v>70</v>
      </c>
      <c r="E180" s="8" t="s">
        <v>71</v>
      </c>
      <c r="F180" s="9" t="s">
        <v>72</v>
      </c>
      <c r="G180" s="9" t="s">
        <v>144</v>
      </c>
      <c r="H180" s="25">
        <v>46372</v>
      </c>
      <c r="I180" s="25" t="s">
        <v>186</v>
      </c>
      <c r="J180" s="9"/>
      <c r="K180" s="9"/>
      <c r="L180" s="9" t="s">
        <v>76</v>
      </c>
      <c r="M180" s="9" t="s">
        <v>77</v>
      </c>
      <c r="N180" s="9" t="s">
        <v>78</v>
      </c>
      <c r="O180" s="9" t="s">
        <v>79</v>
      </c>
      <c r="P180" s="9" t="s">
        <v>80</v>
      </c>
      <c r="Q180" s="9" t="s">
        <v>94</v>
      </c>
      <c r="R180" s="9" t="s">
        <v>115</v>
      </c>
      <c r="S180" s="9" t="s">
        <v>83</v>
      </c>
      <c r="T180" s="9" t="s">
        <v>84</v>
      </c>
      <c r="U180" s="9" t="s">
        <v>2723</v>
      </c>
      <c r="V180" s="24" t="str">
        <f t="shared" si="13"/>
        <v>Infrastructure</v>
      </c>
      <c r="W180" s="10" t="s">
        <v>6</v>
      </c>
      <c r="X180" s="10" t="s">
        <v>86</v>
      </c>
      <c r="Y180" s="10"/>
      <c r="Z180" s="10"/>
      <c r="AA180" s="10"/>
      <c r="AB180" s="61" t="str">
        <f>_xlfn.XLOOKUP(TIDP[[#This Row],[ACTIVITY ID]],Baseline[Activity Code],Baseline[Finish],"",0)</f>
        <v/>
      </c>
      <c r="AC180" s="10"/>
      <c r="AD180" s="10"/>
      <c r="AE180" s="10"/>
      <c r="AF180" s="10"/>
      <c r="AG180" s="10"/>
      <c r="AH180" s="11"/>
    </row>
    <row r="181" spans="1:34" x14ac:dyDescent="0.2">
      <c r="A181" s="93" t="str">
        <f t="shared" si="14"/>
        <v>QF01012-NES-C04518-SDW-CIV-04-Z00000-2FL0604</v>
      </c>
      <c r="B181" s="8" t="s">
        <v>2677</v>
      </c>
      <c r="C181" s="64" t="s">
        <v>2719</v>
      </c>
      <c r="D181" s="8" t="s">
        <v>70</v>
      </c>
      <c r="E181" s="8" t="s">
        <v>71</v>
      </c>
      <c r="F181" s="9" t="s">
        <v>72</v>
      </c>
      <c r="G181" s="9" t="s">
        <v>144</v>
      </c>
      <c r="H181" s="25">
        <v>46372</v>
      </c>
      <c r="I181" s="25" t="s">
        <v>186</v>
      </c>
      <c r="J181" s="9"/>
      <c r="K181" s="9"/>
      <c r="L181" s="9" t="s">
        <v>76</v>
      </c>
      <c r="M181" s="9" t="s">
        <v>77</v>
      </c>
      <c r="N181" s="9" t="s">
        <v>78</v>
      </c>
      <c r="O181" s="9" t="s">
        <v>79</v>
      </c>
      <c r="P181" s="9" t="s">
        <v>80</v>
      </c>
      <c r="Q181" s="9" t="s">
        <v>97</v>
      </c>
      <c r="R181" s="9" t="s">
        <v>115</v>
      </c>
      <c r="S181" s="9" t="s">
        <v>83</v>
      </c>
      <c r="T181" s="9" t="s">
        <v>84</v>
      </c>
      <c r="U181" s="9" t="s">
        <v>2724</v>
      </c>
      <c r="V181" s="24" t="str">
        <f t="shared" si="13"/>
        <v>Infrastructure</v>
      </c>
      <c r="W181" s="10" t="s">
        <v>6</v>
      </c>
      <c r="X181" s="10" t="s">
        <v>86</v>
      </c>
      <c r="Y181" s="10"/>
      <c r="Z181" s="10"/>
      <c r="AA181" s="10"/>
      <c r="AB181" s="61" t="str">
        <f>_xlfn.XLOOKUP(TIDP[[#This Row],[ACTIVITY ID]],Baseline[Activity Code],Baseline[Finish],"",0)</f>
        <v/>
      </c>
      <c r="AC181" s="10"/>
      <c r="AD181" s="10"/>
      <c r="AE181" s="10"/>
      <c r="AF181" s="10"/>
      <c r="AG181" s="10"/>
      <c r="AH181" s="11"/>
    </row>
    <row r="182" spans="1:34" x14ac:dyDescent="0.2">
      <c r="A182" s="93" t="str">
        <f t="shared" si="14"/>
        <v>QF01012-NES-C04518-SDW-CIV-05-Z00000-2FL0605</v>
      </c>
      <c r="B182" s="8" t="s">
        <v>2678</v>
      </c>
      <c r="C182" s="64" t="s">
        <v>2719</v>
      </c>
      <c r="D182" s="8" t="s">
        <v>70</v>
      </c>
      <c r="E182" s="8" t="s">
        <v>71</v>
      </c>
      <c r="F182" s="9" t="s">
        <v>72</v>
      </c>
      <c r="G182" s="9" t="s">
        <v>144</v>
      </c>
      <c r="H182" s="25">
        <v>46372</v>
      </c>
      <c r="I182" s="25" t="s">
        <v>186</v>
      </c>
      <c r="J182" s="9"/>
      <c r="K182" s="9"/>
      <c r="L182" s="9" t="s">
        <v>76</v>
      </c>
      <c r="M182" s="9" t="s">
        <v>77</v>
      </c>
      <c r="N182" s="9" t="s">
        <v>78</v>
      </c>
      <c r="O182" s="9" t="s">
        <v>79</v>
      </c>
      <c r="P182" s="9" t="s">
        <v>80</v>
      </c>
      <c r="Q182" s="9" t="s">
        <v>152</v>
      </c>
      <c r="R182" s="9" t="s">
        <v>115</v>
      </c>
      <c r="S182" s="9" t="s">
        <v>83</v>
      </c>
      <c r="T182" s="9" t="s">
        <v>84</v>
      </c>
      <c r="U182" s="9" t="s">
        <v>2725</v>
      </c>
      <c r="V182" s="24" t="str">
        <f t="shared" si="13"/>
        <v>Infrastructure</v>
      </c>
      <c r="W182" s="10" t="s">
        <v>6</v>
      </c>
      <c r="X182" s="10" t="s">
        <v>86</v>
      </c>
      <c r="Y182" s="10"/>
      <c r="Z182" s="10"/>
      <c r="AA182" s="10"/>
      <c r="AB182" s="61" t="str">
        <f>_xlfn.XLOOKUP(TIDP[[#This Row],[ACTIVITY ID]],Baseline[Activity Code],Baseline[Finish],"",0)</f>
        <v/>
      </c>
      <c r="AC182" s="10"/>
      <c r="AD182" s="10"/>
      <c r="AE182" s="10"/>
      <c r="AF182" s="10"/>
      <c r="AG182" s="10"/>
      <c r="AH182" s="11"/>
    </row>
    <row r="183" spans="1:34" x14ac:dyDescent="0.2">
      <c r="A183" s="93" t="str">
        <f t="shared" si="14"/>
        <v>QF01012-NES-C04518-SDW-CIV-06-Z00000-2FL0606</v>
      </c>
      <c r="B183" s="8" t="s">
        <v>2679</v>
      </c>
      <c r="C183" s="64" t="s">
        <v>2719</v>
      </c>
      <c r="D183" s="8" t="s">
        <v>70</v>
      </c>
      <c r="E183" s="8" t="s">
        <v>71</v>
      </c>
      <c r="F183" s="9" t="s">
        <v>72</v>
      </c>
      <c r="G183" s="9" t="s">
        <v>144</v>
      </c>
      <c r="H183" s="25">
        <v>46372</v>
      </c>
      <c r="I183" s="25" t="s">
        <v>186</v>
      </c>
      <c r="J183" s="9"/>
      <c r="K183" s="9"/>
      <c r="L183" s="9" t="s">
        <v>76</v>
      </c>
      <c r="M183" s="9" t="s">
        <v>77</v>
      </c>
      <c r="N183" s="9" t="s">
        <v>78</v>
      </c>
      <c r="O183" s="9" t="s">
        <v>79</v>
      </c>
      <c r="P183" s="9" t="s">
        <v>80</v>
      </c>
      <c r="Q183" s="9" t="s">
        <v>155</v>
      </c>
      <c r="R183" s="9" t="s">
        <v>115</v>
      </c>
      <c r="S183" s="9" t="s">
        <v>83</v>
      </c>
      <c r="T183" s="9" t="s">
        <v>84</v>
      </c>
      <c r="U183" s="9" t="s">
        <v>2726</v>
      </c>
      <c r="V183" s="24" t="str">
        <f t="shared" si="13"/>
        <v>Infrastructure</v>
      </c>
      <c r="W183" s="10" t="s">
        <v>6</v>
      </c>
      <c r="X183" s="10" t="s">
        <v>86</v>
      </c>
      <c r="Y183" s="10"/>
      <c r="Z183" s="10"/>
      <c r="AA183" s="10"/>
      <c r="AB183" s="61" t="str">
        <f>_xlfn.XLOOKUP(TIDP[[#This Row],[ACTIVITY ID]],Baseline[Activity Code],Baseline[Finish],"",0)</f>
        <v/>
      </c>
      <c r="AC183" s="10"/>
      <c r="AD183" s="10"/>
      <c r="AE183" s="10"/>
      <c r="AF183" s="10"/>
      <c r="AG183" s="10"/>
      <c r="AH183" s="11"/>
    </row>
    <row r="184" spans="1:34" x14ac:dyDescent="0.2">
      <c r="A184" s="93" t="str">
        <f t="shared" si="14"/>
        <v>QF01012-NES-C04518-SDW-CIV-07-Z00000-2FL0607</v>
      </c>
      <c r="B184" s="8" t="s">
        <v>2680</v>
      </c>
      <c r="C184" s="64" t="s">
        <v>2719</v>
      </c>
      <c r="D184" s="8" t="s">
        <v>70</v>
      </c>
      <c r="E184" s="8" t="s">
        <v>71</v>
      </c>
      <c r="F184" s="9" t="s">
        <v>72</v>
      </c>
      <c r="G184" s="9" t="s">
        <v>144</v>
      </c>
      <c r="H184" s="25">
        <v>46372</v>
      </c>
      <c r="I184" s="25" t="s">
        <v>186</v>
      </c>
      <c r="J184" s="9"/>
      <c r="K184" s="9"/>
      <c r="L184" s="9" t="s">
        <v>76</v>
      </c>
      <c r="M184" s="9" t="s">
        <v>77</v>
      </c>
      <c r="N184" s="9" t="s">
        <v>78</v>
      </c>
      <c r="O184" s="9" t="s">
        <v>79</v>
      </c>
      <c r="P184" s="9" t="s">
        <v>80</v>
      </c>
      <c r="Q184" s="9" t="s">
        <v>167</v>
      </c>
      <c r="R184" s="9" t="s">
        <v>115</v>
      </c>
      <c r="S184" s="9" t="s">
        <v>83</v>
      </c>
      <c r="T184" s="9" t="s">
        <v>84</v>
      </c>
      <c r="U184" s="9" t="s">
        <v>2727</v>
      </c>
      <c r="V184" s="24" t="str">
        <f t="shared" si="13"/>
        <v>Infrastructure</v>
      </c>
      <c r="W184" s="10" t="s">
        <v>6</v>
      </c>
      <c r="X184" s="10" t="s">
        <v>86</v>
      </c>
      <c r="Y184" s="10"/>
      <c r="Z184" s="10"/>
      <c r="AA184" s="10"/>
      <c r="AB184" s="61" t="str">
        <f>_xlfn.XLOOKUP(TIDP[[#This Row],[ACTIVITY ID]],Baseline[Activity Code],Baseline[Finish],"",0)</f>
        <v/>
      </c>
      <c r="AC184" s="10"/>
      <c r="AD184" s="10"/>
      <c r="AE184" s="10"/>
      <c r="AF184" s="10"/>
      <c r="AG184" s="10"/>
      <c r="AH184" s="11"/>
    </row>
    <row r="185" spans="1:34" x14ac:dyDescent="0.2">
      <c r="A185" s="93" t="str">
        <f t="shared" si="14"/>
        <v>QF01012-NES-C04518-SDW-CIV-08-Z00000-2FL0608</v>
      </c>
      <c r="B185" s="8" t="s">
        <v>2681</v>
      </c>
      <c r="C185" s="64" t="s">
        <v>2719</v>
      </c>
      <c r="D185" s="8" t="s">
        <v>70</v>
      </c>
      <c r="E185" s="8" t="s">
        <v>71</v>
      </c>
      <c r="F185" s="9" t="s">
        <v>72</v>
      </c>
      <c r="G185" s="9" t="s">
        <v>144</v>
      </c>
      <c r="H185" s="25">
        <v>46372</v>
      </c>
      <c r="I185" s="25" t="s">
        <v>186</v>
      </c>
      <c r="J185" s="9"/>
      <c r="K185" s="9"/>
      <c r="L185" s="9" t="s">
        <v>76</v>
      </c>
      <c r="M185" s="9" t="s">
        <v>77</v>
      </c>
      <c r="N185" s="9" t="s">
        <v>78</v>
      </c>
      <c r="O185" s="9" t="s">
        <v>79</v>
      </c>
      <c r="P185" s="9" t="s">
        <v>80</v>
      </c>
      <c r="Q185" s="9" t="s">
        <v>170</v>
      </c>
      <c r="R185" s="9" t="s">
        <v>115</v>
      </c>
      <c r="S185" s="9" t="s">
        <v>83</v>
      </c>
      <c r="T185" s="9" t="s">
        <v>84</v>
      </c>
      <c r="U185" s="9" t="s">
        <v>2728</v>
      </c>
      <c r="V185" s="24" t="str">
        <f t="shared" si="13"/>
        <v>Infrastructure</v>
      </c>
      <c r="W185" s="10" t="s">
        <v>6</v>
      </c>
      <c r="X185" s="10" t="s">
        <v>86</v>
      </c>
      <c r="Y185" s="10"/>
      <c r="Z185" s="10"/>
      <c r="AA185" s="10"/>
      <c r="AB185" s="61" t="str">
        <f>_xlfn.XLOOKUP(TIDP[[#This Row],[ACTIVITY ID]],Baseline[Activity Code],Baseline[Finish],"",0)</f>
        <v/>
      </c>
      <c r="AC185" s="10"/>
      <c r="AD185" s="10"/>
      <c r="AE185" s="10"/>
      <c r="AF185" s="10"/>
      <c r="AG185" s="10"/>
      <c r="AH185" s="11"/>
    </row>
    <row r="186" spans="1:34" x14ac:dyDescent="0.2">
      <c r="A186" s="93" t="str">
        <f t="shared" si="14"/>
        <v>QF01012-NES-C04518-SDW-CIV-09-Z00000-2FL0609</v>
      </c>
      <c r="B186" s="8" t="s">
        <v>2682</v>
      </c>
      <c r="C186" s="64" t="s">
        <v>2719</v>
      </c>
      <c r="D186" s="8" t="s">
        <v>70</v>
      </c>
      <c r="E186" s="8" t="s">
        <v>71</v>
      </c>
      <c r="F186" s="9" t="s">
        <v>72</v>
      </c>
      <c r="G186" s="9" t="s">
        <v>144</v>
      </c>
      <c r="H186" s="25">
        <v>46372</v>
      </c>
      <c r="I186" s="25" t="s">
        <v>186</v>
      </c>
      <c r="J186" s="9"/>
      <c r="K186" s="9"/>
      <c r="L186" s="9" t="s">
        <v>76</v>
      </c>
      <c r="M186" s="9" t="s">
        <v>77</v>
      </c>
      <c r="N186" s="9" t="s">
        <v>78</v>
      </c>
      <c r="O186" s="9" t="s">
        <v>79</v>
      </c>
      <c r="P186" s="9" t="s">
        <v>80</v>
      </c>
      <c r="Q186" s="9" t="s">
        <v>173</v>
      </c>
      <c r="R186" s="9" t="s">
        <v>115</v>
      </c>
      <c r="S186" s="9" t="s">
        <v>83</v>
      </c>
      <c r="T186" s="9" t="s">
        <v>84</v>
      </c>
      <c r="U186" s="9" t="s">
        <v>2729</v>
      </c>
      <c r="V186" s="24" t="str">
        <f t="shared" si="13"/>
        <v>Infrastructure</v>
      </c>
      <c r="W186" s="10" t="s">
        <v>6</v>
      </c>
      <c r="X186" s="10" t="s">
        <v>86</v>
      </c>
      <c r="Y186" s="10"/>
      <c r="Z186" s="10"/>
      <c r="AA186" s="10"/>
      <c r="AB186" s="61" t="str">
        <f>_xlfn.XLOOKUP(TIDP[[#This Row],[ACTIVITY ID]],Baseline[Activity Code],Baseline[Finish],"",0)</f>
        <v/>
      </c>
      <c r="AC186" s="10"/>
      <c r="AD186" s="10"/>
      <c r="AE186" s="10"/>
      <c r="AF186" s="10"/>
      <c r="AG186" s="10"/>
      <c r="AH186" s="11"/>
    </row>
    <row r="187" spans="1:34" x14ac:dyDescent="0.2">
      <c r="A187" s="93" t="str">
        <f t="shared" si="14"/>
        <v>QF01012-NES-C04518-SDW-CIV-01-Z00000-3FL0621</v>
      </c>
      <c r="B187" s="8" t="s">
        <v>2683</v>
      </c>
      <c r="C187" s="64" t="s">
        <v>2719</v>
      </c>
      <c r="D187" s="8" t="s">
        <v>70</v>
      </c>
      <c r="E187" s="8" t="s">
        <v>71</v>
      </c>
      <c r="F187" s="9" t="s">
        <v>72</v>
      </c>
      <c r="G187" s="9" t="s">
        <v>144</v>
      </c>
      <c r="H187" s="25">
        <v>46372</v>
      </c>
      <c r="I187" s="25" t="s">
        <v>186</v>
      </c>
      <c r="J187" s="9"/>
      <c r="K187" s="9"/>
      <c r="L187" s="9" t="s">
        <v>76</v>
      </c>
      <c r="M187" s="9" t="s">
        <v>77</v>
      </c>
      <c r="N187" s="9" t="s">
        <v>78</v>
      </c>
      <c r="O187" s="9" t="s">
        <v>79</v>
      </c>
      <c r="P187" s="9" t="s">
        <v>80</v>
      </c>
      <c r="Q187" s="9" t="s">
        <v>81</v>
      </c>
      <c r="R187" s="9" t="s">
        <v>115</v>
      </c>
      <c r="S187" s="9" t="s">
        <v>88</v>
      </c>
      <c r="T187" s="9" t="s">
        <v>84</v>
      </c>
      <c r="U187" s="9" t="s">
        <v>2730</v>
      </c>
      <c r="V187" s="24" t="str">
        <f t="shared" si="13"/>
        <v>Infrastructure</v>
      </c>
      <c r="W187" s="10" t="s">
        <v>6</v>
      </c>
      <c r="X187" s="10" t="s">
        <v>86</v>
      </c>
      <c r="Y187" s="10"/>
      <c r="Z187" s="10"/>
      <c r="AA187" s="10"/>
      <c r="AB187" s="61" t="str">
        <f>_xlfn.XLOOKUP(TIDP[[#This Row],[ACTIVITY ID]],Baseline[Activity Code],Baseline[Finish],"",0)</f>
        <v/>
      </c>
      <c r="AC187" s="10"/>
      <c r="AD187" s="10"/>
      <c r="AE187" s="10"/>
      <c r="AF187" s="10"/>
      <c r="AG187" s="10"/>
      <c r="AH187" s="11"/>
    </row>
    <row r="188" spans="1:34" x14ac:dyDescent="0.2">
      <c r="A188" s="93" t="str">
        <f t="shared" si="14"/>
        <v>QF01012-NES-C04518-SDW-CIV-02-Z00000-3FL0622</v>
      </c>
      <c r="B188" s="8" t="s">
        <v>2684</v>
      </c>
      <c r="C188" s="64" t="s">
        <v>2719</v>
      </c>
      <c r="D188" s="8" t="s">
        <v>70</v>
      </c>
      <c r="E188" s="8" t="s">
        <v>71</v>
      </c>
      <c r="F188" s="9" t="s">
        <v>72</v>
      </c>
      <c r="G188" s="9" t="s">
        <v>144</v>
      </c>
      <c r="H188" s="25">
        <v>46372</v>
      </c>
      <c r="I188" s="25" t="s">
        <v>186</v>
      </c>
      <c r="J188" s="9"/>
      <c r="K188" s="9"/>
      <c r="L188" s="9" t="s">
        <v>76</v>
      </c>
      <c r="M188" s="9" t="s">
        <v>77</v>
      </c>
      <c r="N188" s="9" t="s">
        <v>78</v>
      </c>
      <c r="O188" s="9" t="s">
        <v>79</v>
      </c>
      <c r="P188" s="9" t="s">
        <v>80</v>
      </c>
      <c r="Q188" s="9" t="s">
        <v>91</v>
      </c>
      <c r="R188" s="9" t="s">
        <v>115</v>
      </c>
      <c r="S188" s="9" t="s">
        <v>88</v>
      </c>
      <c r="T188" s="9" t="s">
        <v>84</v>
      </c>
      <c r="U188" s="9" t="s">
        <v>2731</v>
      </c>
      <c r="V188" s="24" t="str">
        <f t="shared" si="13"/>
        <v>Infrastructure</v>
      </c>
      <c r="W188" s="10" t="s">
        <v>6</v>
      </c>
      <c r="X188" s="10" t="s">
        <v>86</v>
      </c>
      <c r="Y188" s="10"/>
      <c r="Z188" s="10"/>
      <c r="AA188" s="10"/>
      <c r="AB188" s="61" t="str">
        <f>_xlfn.XLOOKUP(TIDP[[#This Row],[ACTIVITY ID]],Baseline[Activity Code],Baseline[Finish],"",0)</f>
        <v/>
      </c>
      <c r="AC188" s="10"/>
      <c r="AD188" s="10"/>
      <c r="AE188" s="10"/>
      <c r="AF188" s="10"/>
      <c r="AG188" s="10"/>
      <c r="AH188" s="11"/>
    </row>
    <row r="189" spans="1:34" x14ac:dyDescent="0.2">
      <c r="A189" s="93" t="str">
        <f t="shared" si="14"/>
        <v>QF01012-NES-C04518-SDW-CIV-03-Z00000-3FL0623</v>
      </c>
      <c r="B189" s="8" t="s">
        <v>2685</v>
      </c>
      <c r="C189" s="64" t="s">
        <v>2719</v>
      </c>
      <c r="D189" s="8" t="s">
        <v>70</v>
      </c>
      <c r="E189" s="8" t="s">
        <v>71</v>
      </c>
      <c r="F189" s="9" t="s">
        <v>72</v>
      </c>
      <c r="G189" s="9" t="s">
        <v>144</v>
      </c>
      <c r="H189" s="25">
        <v>46372</v>
      </c>
      <c r="I189" s="25" t="s">
        <v>186</v>
      </c>
      <c r="J189" s="9"/>
      <c r="K189" s="9"/>
      <c r="L189" s="9" t="s">
        <v>76</v>
      </c>
      <c r="M189" s="9" t="s">
        <v>77</v>
      </c>
      <c r="N189" s="9" t="s">
        <v>78</v>
      </c>
      <c r="O189" s="9" t="s">
        <v>79</v>
      </c>
      <c r="P189" s="9" t="s">
        <v>80</v>
      </c>
      <c r="Q189" s="9" t="s">
        <v>94</v>
      </c>
      <c r="R189" s="9" t="s">
        <v>115</v>
      </c>
      <c r="S189" s="9" t="s">
        <v>88</v>
      </c>
      <c r="T189" s="9" t="s">
        <v>84</v>
      </c>
      <c r="U189" s="9" t="s">
        <v>2732</v>
      </c>
      <c r="V189" s="24" t="str">
        <f t="shared" si="13"/>
        <v>Infrastructure</v>
      </c>
      <c r="W189" s="10" t="s">
        <v>6</v>
      </c>
      <c r="X189" s="10" t="s">
        <v>86</v>
      </c>
      <c r="Y189" s="10"/>
      <c r="Z189" s="10"/>
      <c r="AA189" s="10"/>
      <c r="AB189" s="61" t="str">
        <f>_xlfn.XLOOKUP(TIDP[[#This Row],[ACTIVITY ID]],Baseline[Activity Code],Baseline[Finish],"",0)</f>
        <v/>
      </c>
      <c r="AC189" s="10"/>
      <c r="AD189" s="10"/>
      <c r="AE189" s="10"/>
      <c r="AF189" s="10"/>
      <c r="AG189" s="10"/>
      <c r="AH189" s="11"/>
    </row>
    <row r="190" spans="1:34" x14ac:dyDescent="0.2">
      <c r="A190" s="93" t="str">
        <f t="shared" si="14"/>
        <v>QF01012-NES-C04518-SDW-CIV-04-Z00000-3FL0624</v>
      </c>
      <c r="B190" s="8" t="s">
        <v>2686</v>
      </c>
      <c r="C190" s="64" t="s">
        <v>2719</v>
      </c>
      <c r="D190" s="8" t="s">
        <v>70</v>
      </c>
      <c r="E190" s="8" t="s">
        <v>71</v>
      </c>
      <c r="F190" s="9" t="s">
        <v>72</v>
      </c>
      <c r="G190" s="9" t="s">
        <v>144</v>
      </c>
      <c r="H190" s="25">
        <v>46372</v>
      </c>
      <c r="I190" s="25" t="s">
        <v>186</v>
      </c>
      <c r="J190" s="9"/>
      <c r="K190" s="9"/>
      <c r="L190" s="9" t="s">
        <v>76</v>
      </c>
      <c r="M190" s="9" t="s">
        <v>77</v>
      </c>
      <c r="N190" s="9" t="s">
        <v>78</v>
      </c>
      <c r="O190" s="9" t="s">
        <v>79</v>
      </c>
      <c r="P190" s="9" t="s">
        <v>80</v>
      </c>
      <c r="Q190" s="9" t="s">
        <v>97</v>
      </c>
      <c r="R190" s="9" t="s">
        <v>115</v>
      </c>
      <c r="S190" s="9" t="s">
        <v>88</v>
      </c>
      <c r="T190" s="9" t="s">
        <v>84</v>
      </c>
      <c r="U190" s="9" t="s">
        <v>2733</v>
      </c>
      <c r="V190" s="24" t="str">
        <f t="shared" si="13"/>
        <v>Infrastructure</v>
      </c>
      <c r="W190" s="10" t="s">
        <v>6</v>
      </c>
      <c r="X190" s="10" t="s">
        <v>86</v>
      </c>
      <c r="Y190" s="10"/>
      <c r="Z190" s="10"/>
      <c r="AA190" s="10"/>
      <c r="AB190" s="61" t="str">
        <f>_xlfn.XLOOKUP(TIDP[[#This Row],[ACTIVITY ID]],Baseline[Activity Code],Baseline[Finish],"",0)</f>
        <v/>
      </c>
      <c r="AC190" s="10"/>
      <c r="AD190" s="10"/>
      <c r="AE190" s="10"/>
      <c r="AF190" s="10"/>
      <c r="AG190" s="10"/>
      <c r="AH190" s="11"/>
    </row>
    <row r="191" spans="1:34" x14ac:dyDescent="0.2">
      <c r="A191" s="93" t="str">
        <f t="shared" si="14"/>
        <v>QF01012-NES-C04518-SDW-CIV-05-Z00000-3FL0625</v>
      </c>
      <c r="B191" s="8" t="s">
        <v>2687</v>
      </c>
      <c r="C191" s="64" t="s">
        <v>2719</v>
      </c>
      <c r="D191" s="8" t="s">
        <v>70</v>
      </c>
      <c r="E191" s="8" t="s">
        <v>71</v>
      </c>
      <c r="F191" s="9" t="s">
        <v>72</v>
      </c>
      <c r="G191" s="9" t="s">
        <v>144</v>
      </c>
      <c r="H191" s="25">
        <v>46372</v>
      </c>
      <c r="I191" s="25" t="s">
        <v>186</v>
      </c>
      <c r="J191" s="9"/>
      <c r="K191" s="9"/>
      <c r="L191" s="9" t="s">
        <v>76</v>
      </c>
      <c r="M191" s="9" t="s">
        <v>77</v>
      </c>
      <c r="N191" s="9" t="s">
        <v>78</v>
      </c>
      <c r="O191" s="9" t="s">
        <v>79</v>
      </c>
      <c r="P191" s="9" t="s">
        <v>80</v>
      </c>
      <c r="Q191" s="9" t="s">
        <v>152</v>
      </c>
      <c r="R191" s="9" t="s">
        <v>115</v>
      </c>
      <c r="S191" s="9" t="s">
        <v>88</v>
      </c>
      <c r="T191" s="9" t="s">
        <v>84</v>
      </c>
      <c r="U191" s="9" t="s">
        <v>2734</v>
      </c>
      <c r="V191" s="24" t="str">
        <f t="shared" si="13"/>
        <v>Infrastructure</v>
      </c>
      <c r="W191" s="10" t="s">
        <v>6</v>
      </c>
      <c r="X191" s="10" t="s">
        <v>86</v>
      </c>
      <c r="Y191" s="10"/>
      <c r="Z191" s="10"/>
      <c r="AA191" s="10"/>
      <c r="AB191" s="61" t="str">
        <f>_xlfn.XLOOKUP(TIDP[[#This Row],[ACTIVITY ID]],Baseline[Activity Code],Baseline[Finish],"",0)</f>
        <v/>
      </c>
      <c r="AC191" s="10"/>
      <c r="AD191" s="10"/>
      <c r="AE191" s="10"/>
      <c r="AF191" s="10"/>
      <c r="AG191" s="10"/>
      <c r="AH191" s="11"/>
    </row>
    <row r="192" spans="1:34" x14ac:dyDescent="0.2">
      <c r="A192" s="93" t="str">
        <f t="shared" si="14"/>
        <v>QF01012-NES-C04518-SDW-CIV-01-Z00000-3FL0631</v>
      </c>
      <c r="B192" s="8" t="s">
        <v>2688</v>
      </c>
      <c r="C192" s="64" t="s">
        <v>2719</v>
      </c>
      <c r="D192" s="8" t="s">
        <v>70</v>
      </c>
      <c r="E192" s="8" t="s">
        <v>71</v>
      </c>
      <c r="F192" s="9" t="s">
        <v>72</v>
      </c>
      <c r="G192" s="9" t="s">
        <v>144</v>
      </c>
      <c r="H192" s="25">
        <v>46372</v>
      </c>
      <c r="I192" s="25" t="s">
        <v>186</v>
      </c>
      <c r="J192" s="9"/>
      <c r="K192" s="9"/>
      <c r="L192" s="9" t="s">
        <v>76</v>
      </c>
      <c r="M192" s="9" t="s">
        <v>77</v>
      </c>
      <c r="N192" s="9" t="s">
        <v>78</v>
      </c>
      <c r="O192" s="9" t="s">
        <v>79</v>
      </c>
      <c r="P192" s="9" t="s">
        <v>80</v>
      </c>
      <c r="Q192" s="9" t="s">
        <v>81</v>
      </c>
      <c r="R192" s="9" t="s">
        <v>115</v>
      </c>
      <c r="S192" s="9" t="s">
        <v>88</v>
      </c>
      <c r="T192" s="9" t="s">
        <v>84</v>
      </c>
      <c r="U192" s="9" t="s">
        <v>2735</v>
      </c>
      <c r="V192" s="24" t="str">
        <f t="shared" si="13"/>
        <v>Infrastructure</v>
      </c>
      <c r="W192" s="10" t="s">
        <v>6</v>
      </c>
      <c r="X192" s="10" t="s">
        <v>86</v>
      </c>
      <c r="Y192" s="10"/>
      <c r="Z192" s="10"/>
      <c r="AA192" s="10"/>
      <c r="AB192" s="61" t="str">
        <f>_xlfn.XLOOKUP(TIDP[[#This Row],[ACTIVITY ID]],Baseline[Activity Code],Baseline[Finish],"",0)</f>
        <v/>
      </c>
      <c r="AC192" s="10"/>
      <c r="AD192" s="10"/>
      <c r="AE192" s="10"/>
      <c r="AF192" s="10"/>
      <c r="AG192" s="10"/>
      <c r="AH192" s="11"/>
    </row>
    <row r="193" spans="1:34" x14ac:dyDescent="0.2">
      <c r="A193" s="93" t="str">
        <f t="shared" si="14"/>
        <v>QF01012-NES-C04518-SDW-CIV-02-Z00000-3FL0632</v>
      </c>
      <c r="B193" s="8" t="s">
        <v>2689</v>
      </c>
      <c r="C193" s="64" t="s">
        <v>2719</v>
      </c>
      <c r="D193" s="8" t="s">
        <v>70</v>
      </c>
      <c r="E193" s="8" t="s">
        <v>71</v>
      </c>
      <c r="F193" s="9" t="s">
        <v>72</v>
      </c>
      <c r="G193" s="9" t="s">
        <v>144</v>
      </c>
      <c r="H193" s="25">
        <v>46372</v>
      </c>
      <c r="I193" s="25" t="s">
        <v>186</v>
      </c>
      <c r="J193" s="9"/>
      <c r="K193" s="9"/>
      <c r="L193" s="9" t="s">
        <v>76</v>
      </c>
      <c r="M193" s="9" t="s">
        <v>77</v>
      </c>
      <c r="N193" s="9" t="s">
        <v>78</v>
      </c>
      <c r="O193" s="9" t="s">
        <v>79</v>
      </c>
      <c r="P193" s="9" t="s">
        <v>80</v>
      </c>
      <c r="Q193" s="9" t="s">
        <v>91</v>
      </c>
      <c r="R193" s="9" t="s">
        <v>115</v>
      </c>
      <c r="S193" s="9" t="s">
        <v>88</v>
      </c>
      <c r="T193" s="9" t="s">
        <v>84</v>
      </c>
      <c r="U193" s="9" t="s">
        <v>2736</v>
      </c>
      <c r="V193" s="24" t="str">
        <f t="shared" si="13"/>
        <v>Infrastructure</v>
      </c>
      <c r="W193" s="10" t="s">
        <v>6</v>
      </c>
      <c r="X193" s="10" t="s">
        <v>86</v>
      </c>
      <c r="Y193" s="10"/>
      <c r="Z193" s="10"/>
      <c r="AA193" s="10"/>
      <c r="AB193" s="61" t="str">
        <f>_xlfn.XLOOKUP(TIDP[[#This Row],[ACTIVITY ID]],Baseline[Activity Code],Baseline[Finish],"",0)</f>
        <v/>
      </c>
      <c r="AC193" s="10"/>
      <c r="AD193" s="10"/>
      <c r="AE193" s="10"/>
      <c r="AF193" s="10"/>
      <c r="AG193" s="10"/>
      <c r="AH193" s="11"/>
    </row>
    <row r="194" spans="1:34" x14ac:dyDescent="0.2">
      <c r="A194" s="93" t="str">
        <f t="shared" si="14"/>
        <v>QF01012-NES-C04518-SDW-CIV-03-Z00000-3FL0633</v>
      </c>
      <c r="B194" s="8" t="s">
        <v>2690</v>
      </c>
      <c r="C194" s="64" t="s">
        <v>2719</v>
      </c>
      <c r="D194" s="8" t="s">
        <v>70</v>
      </c>
      <c r="E194" s="8" t="s">
        <v>71</v>
      </c>
      <c r="F194" s="9" t="s">
        <v>72</v>
      </c>
      <c r="G194" s="9" t="s">
        <v>144</v>
      </c>
      <c r="H194" s="25">
        <v>46372</v>
      </c>
      <c r="I194" s="25" t="s">
        <v>186</v>
      </c>
      <c r="J194" s="9"/>
      <c r="K194" s="9"/>
      <c r="L194" s="9" t="s">
        <v>76</v>
      </c>
      <c r="M194" s="9" t="s">
        <v>77</v>
      </c>
      <c r="N194" s="9" t="s">
        <v>78</v>
      </c>
      <c r="O194" s="9" t="s">
        <v>79</v>
      </c>
      <c r="P194" s="9" t="s">
        <v>80</v>
      </c>
      <c r="Q194" s="9" t="s">
        <v>94</v>
      </c>
      <c r="R194" s="9" t="s">
        <v>115</v>
      </c>
      <c r="S194" s="9" t="s">
        <v>88</v>
      </c>
      <c r="T194" s="9" t="s">
        <v>84</v>
      </c>
      <c r="U194" s="9" t="s">
        <v>2737</v>
      </c>
      <c r="V194" s="24" t="str">
        <f t="shared" si="13"/>
        <v>Infrastructure</v>
      </c>
      <c r="W194" s="10" t="s">
        <v>6</v>
      </c>
      <c r="X194" s="10" t="s">
        <v>86</v>
      </c>
      <c r="Y194" s="10"/>
      <c r="Z194" s="10"/>
      <c r="AA194" s="10"/>
      <c r="AB194" s="94"/>
      <c r="AC194" s="10"/>
      <c r="AD194" s="10"/>
      <c r="AE194" s="10"/>
      <c r="AF194" s="10"/>
      <c r="AG194" s="10"/>
      <c r="AH194" s="11"/>
    </row>
    <row r="195" spans="1:34" x14ac:dyDescent="0.2">
      <c r="A195" s="93" t="str">
        <f t="shared" si="14"/>
        <v>QF01012-NES-C04518-SDW-CIV-04-Z00000-3FL0634</v>
      </c>
      <c r="B195" s="8" t="s">
        <v>2691</v>
      </c>
      <c r="C195" s="64" t="s">
        <v>2719</v>
      </c>
      <c r="D195" s="8" t="s">
        <v>70</v>
      </c>
      <c r="E195" s="8" t="s">
        <v>71</v>
      </c>
      <c r="F195" s="9" t="s">
        <v>72</v>
      </c>
      <c r="G195" s="9" t="s">
        <v>144</v>
      </c>
      <c r="H195" s="25">
        <v>46372</v>
      </c>
      <c r="I195" s="25" t="s">
        <v>186</v>
      </c>
      <c r="J195" s="9"/>
      <c r="K195" s="9"/>
      <c r="L195" s="9" t="s">
        <v>76</v>
      </c>
      <c r="M195" s="9" t="s">
        <v>77</v>
      </c>
      <c r="N195" s="9" t="s">
        <v>78</v>
      </c>
      <c r="O195" s="9" t="s">
        <v>79</v>
      </c>
      <c r="P195" s="9" t="s">
        <v>80</v>
      </c>
      <c r="Q195" s="9" t="s">
        <v>97</v>
      </c>
      <c r="R195" s="9" t="s">
        <v>115</v>
      </c>
      <c r="S195" s="9" t="s">
        <v>88</v>
      </c>
      <c r="T195" s="9" t="s">
        <v>84</v>
      </c>
      <c r="U195" s="9" t="s">
        <v>2738</v>
      </c>
      <c r="V195" s="24" t="str">
        <f t="shared" si="13"/>
        <v>Infrastructure</v>
      </c>
      <c r="W195" s="10" t="s">
        <v>6</v>
      </c>
      <c r="X195" s="10" t="s">
        <v>86</v>
      </c>
      <c r="Y195" s="10"/>
      <c r="Z195" s="10"/>
      <c r="AA195" s="10"/>
      <c r="AB195" s="94"/>
      <c r="AC195" s="10"/>
      <c r="AD195" s="10"/>
      <c r="AE195" s="10"/>
      <c r="AF195" s="10"/>
      <c r="AG195" s="10"/>
      <c r="AH195" s="11"/>
    </row>
    <row r="196" spans="1:34" x14ac:dyDescent="0.2">
      <c r="A196" s="93" t="str">
        <f t="shared" si="14"/>
        <v>QF01012-NES-C04518-SDW-CIV-05-Z00000-3FL0635</v>
      </c>
      <c r="B196" s="8" t="s">
        <v>2692</v>
      </c>
      <c r="C196" s="64" t="s">
        <v>2719</v>
      </c>
      <c r="D196" s="8" t="s">
        <v>70</v>
      </c>
      <c r="E196" s="8" t="s">
        <v>71</v>
      </c>
      <c r="F196" s="9" t="s">
        <v>72</v>
      </c>
      <c r="G196" s="9" t="s">
        <v>144</v>
      </c>
      <c r="H196" s="25">
        <v>46372</v>
      </c>
      <c r="I196" s="25" t="s">
        <v>186</v>
      </c>
      <c r="J196" s="9"/>
      <c r="K196" s="9"/>
      <c r="L196" s="9" t="s">
        <v>76</v>
      </c>
      <c r="M196" s="9" t="s">
        <v>77</v>
      </c>
      <c r="N196" s="9" t="s">
        <v>78</v>
      </c>
      <c r="O196" s="9" t="s">
        <v>79</v>
      </c>
      <c r="P196" s="9" t="s">
        <v>80</v>
      </c>
      <c r="Q196" s="9" t="s">
        <v>152</v>
      </c>
      <c r="R196" s="9" t="s">
        <v>115</v>
      </c>
      <c r="S196" s="9" t="s">
        <v>88</v>
      </c>
      <c r="T196" s="9" t="s">
        <v>84</v>
      </c>
      <c r="U196" s="9" t="s">
        <v>2739</v>
      </c>
      <c r="V196" s="24" t="str">
        <f t="shared" si="13"/>
        <v>Infrastructure</v>
      </c>
      <c r="W196" s="10" t="s">
        <v>6</v>
      </c>
      <c r="X196" s="10" t="s">
        <v>86</v>
      </c>
      <c r="Y196" s="10"/>
      <c r="Z196" s="10"/>
      <c r="AA196" s="10"/>
      <c r="AB196" s="94"/>
      <c r="AC196" s="10"/>
      <c r="AD196" s="10"/>
      <c r="AE196" s="10"/>
      <c r="AF196" s="10"/>
      <c r="AG196" s="10"/>
      <c r="AH196" s="11"/>
    </row>
    <row r="197" spans="1:34" x14ac:dyDescent="0.2">
      <c r="A197" s="93" t="str">
        <f t="shared" si="14"/>
        <v>QF01012-NES-C04518-SDW-CIV-06-Z00000-3FL0636</v>
      </c>
      <c r="B197" s="8" t="s">
        <v>2693</v>
      </c>
      <c r="C197" s="64" t="s">
        <v>2719</v>
      </c>
      <c r="D197" s="8" t="s">
        <v>70</v>
      </c>
      <c r="E197" s="8" t="s">
        <v>71</v>
      </c>
      <c r="F197" s="9" t="s">
        <v>72</v>
      </c>
      <c r="G197" s="9" t="s">
        <v>144</v>
      </c>
      <c r="H197" s="25">
        <v>46372</v>
      </c>
      <c r="I197" s="25" t="s">
        <v>186</v>
      </c>
      <c r="J197" s="9"/>
      <c r="K197" s="9"/>
      <c r="L197" s="9" t="s">
        <v>76</v>
      </c>
      <c r="M197" s="9" t="s">
        <v>77</v>
      </c>
      <c r="N197" s="9" t="s">
        <v>78</v>
      </c>
      <c r="O197" s="9" t="s">
        <v>79</v>
      </c>
      <c r="P197" s="9" t="s">
        <v>80</v>
      </c>
      <c r="Q197" s="9" t="s">
        <v>155</v>
      </c>
      <c r="R197" s="9" t="s">
        <v>115</v>
      </c>
      <c r="S197" s="9" t="s">
        <v>88</v>
      </c>
      <c r="T197" s="9" t="s">
        <v>84</v>
      </c>
      <c r="U197" s="9" t="s">
        <v>2740</v>
      </c>
      <c r="V197" s="24" t="str">
        <f t="shared" si="13"/>
        <v>Infrastructure</v>
      </c>
      <c r="W197" s="10" t="s">
        <v>6</v>
      </c>
      <c r="X197" s="10" t="s">
        <v>86</v>
      </c>
      <c r="Y197" s="10"/>
      <c r="Z197" s="10"/>
      <c r="AA197" s="10"/>
      <c r="AB197" s="94"/>
      <c r="AC197" s="10"/>
      <c r="AD197" s="10"/>
      <c r="AE197" s="10"/>
      <c r="AF197" s="10"/>
      <c r="AG197" s="10"/>
      <c r="AH197" s="11"/>
    </row>
    <row r="198" spans="1:34" x14ac:dyDescent="0.2">
      <c r="A198" s="93" t="str">
        <f t="shared" si="14"/>
        <v>QF01012-NES-C04518-SDW-CIV-07-Z00000-3FL0637</v>
      </c>
      <c r="B198" s="8" t="s">
        <v>2694</v>
      </c>
      <c r="C198" s="64" t="s">
        <v>2719</v>
      </c>
      <c r="D198" s="8" t="s">
        <v>70</v>
      </c>
      <c r="E198" s="8" t="s">
        <v>71</v>
      </c>
      <c r="F198" s="9" t="s">
        <v>72</v>
      </c>
      <c r="G198" s="9" t="s">
        <v>144</v>
      </c>
      <c r="H198" s="25">
        <v>46372</v>
      </c>
      <c r="I198" s="25" t="s">
        <v>186</v>
      </c>
      <c r="J198" s="9"/>
      <c r="K198" s="9"/>
      <c r="L198" s="9" t="s">
        <v>76</v>
      </c>
      <c r="M198" s="9" t="s">
        <v>77</v>
      </c>
      <c r="N198" s="9" t="s">
        <v>78</v>
      </c>
      <c r="O198" s="9" t="s">
        <v>79</v>
      </c>
      <c r="P198" s="9" t="s">
        <v>80</v>
      </c>
      <c r="Q198" s="9" t="s">
        <v>167</v>
      </c>
      <c r="R198" s="9" t="s">
        <v>115</v>
      </c>
      <c r="S198" s="9" t="s">
        <v>88</v>
      </c>
      <c r="T198" s="9" t="s">
        <v>84</v>
      </c>
      <c r="U198" s="9" t="s">
        <v>2741</v>
      </c>
      <c r="V198" s="24" t="str">
        <f t="shared" si="13"/>
        <v>Infrastructure</v>
      </c>
      <c r="W198" s="10" t="s">
        <v>6</v>
      </c>
      <c r="X198" s="10" t="s">
        <v>86</v>
      </c>
      <c r="Y198" s="10"/>
      <c r="Z198" s="10"/>
      <c r="AA198" s="10"/>
      <c r="AB198" s="94"/>
      <c r="AC198" s="10"/>
      <c r="AD198" s="10"/>
      <c r="AE198" s="10"/>
      <c r="AF198" s="10"/>
      <c r="AG198" s="10"/>
      <c r="AH198" s="11"/>
    </row>
    <row r="199" spans="1:34" x14ac:dyDescent="0.2">
      <c r="A199" s="93" t="str">
        <f t="shared" si="14"/>
        <v>QF01012-NES-C04518-SDW-CIV-08-Z00000-3FL0638</v>
      </c>
      <c r="B199" s="8" t="s">
        <v>2695</v>
      </c>
      <c r="C199" s="64" t="s">
        <v>2719</v>
      </c>
      <c r="D199" s="8" t="s">
        <v>70</v>
      </c>
      <c r="E199" s="8" t="s">
        <v>71</v>
      </c>
      <c r="F199" s="9" t="s">
        <v>72</v>
      </c>
      <c r="G199" s="9" t="s">
        <v>144</v>
      </c>
      <c r="H199" s="25">
        <v>46372</v>
      </c>
      <c r="I199" s="25" t="s">
        <v>186</v>
      </c>
      <c r="J199" s="9"/>
      <c r="K199" s="9"/>
      <c r="L199" s="9" t="s">
        <v>76</v>
      </c>
      <c r="M199" s="9" t="s">
        <v>77</v>
      </c>
      <c r="N199" s="9" t="s">
        <v>78</v>
      </c>
      <c r="O199" s="9" t="s">
        <v>79</v>
      </c>
      <c r="P199" s="9" t="s">
        <v>80</v>
      </c>
      <c r="Q199" s="9" t="s">
        <v>170</v>
      </c>
      <c r="R199" s="9" t="s">
        <v>115</v>
      </c>
      <c r="S199" s="9" t="s">
        <v>88</v>
      </c>
      <c r="T199" s="9" t="s">
        <v>84</v>
      </c>
      <c r="U199" s="9" t="s">
        <v>2742</v>
      </c>
      <c r="V199" s="24" t="str">
        <f t="shared" si="13"/>
        <v>Infrastructure</v>
      </c>
      <c r="W199" s="10" t="s">
        <v>6</v>
      </c>
      <c r="X199" s="10" t="s">
        <v>86</v>
      </c>
      <c r="Y199" s="10"/>
      <c r="Z199" s="10"/>
      <c r="AA199" s="10"/>
      <c r="AB199" s="94"/>
      <c r="AC199" s="10"/>
      <c r="AD199" s="10"/>
      <c r="AE199" s="10"/>
      <c r="AF199" s="10"/>
      <c r="AG199" s="10"/>
      <c r="AH199" s="11"/>
    </row>
    <row r="200" spans="1:34" x14ac:dyDescent="0.2">
      <c r="A200" s="93" t="str">
        <f t="shared" si="14"/>
        <v>QF01012-NES-C04518-SDW-CIV-00-Z00000-2ZZ0650</v>
      </c>
      <c r="B200" s="8" t="s">
        <v>2696</v>
      </c>
      <c r="C200" s="64" t="s">
        <v>2719</v>
      </c>
      <c r="D200" s="8" t="s">
        <v>70</v>
      </c>
      <c r="E200" s="8" t="s">
        <v>71</v>
      </c>
      <c r="F200" s="9" t="s">
        <v>72</v>
      </c>
      <c r="G200" s="9" t="s">
        <v>144</v>
      </c>
      <c r="H200" s="25">
        <v>46372</v>
      </c>
      <c r="I200" s="25" t="s">
        <v>286</v>
      </c>
      <c r="J200" s="9"/>
      <c r="K200" s="9"/>
      <c r="L200" s="9" t="s">
        <v>76</v>
      </c>
      <c r="M200" s="9" t="s">
        <v>77</v>
      </c>
      <c r="N200" s="9" t="s">
        <v>78</v>
      </c>
      <c r="O200" s="9" t="s">
        <v>79</v>
      </c>
      <c r="P200" s="9" t="s">
        <v>80</v>
      </c>
      <c r="Q200" s="9" t="s">
        <v>14</v>
      </c>
      <c r="R200" s="9" t="s">
        <v>115</v>
      </c>
      <c r="S200" s="9" t="s">
        <v>83</v>
      </c>
      <c r="T200" s="9" t="s">
        <v>117</v>
      </c>
      <c r="U200" s="9" t="s">
        <v>2743</v>
      </c>
      <c r="V200" s="24" t="str">
        <f t="shared" si="13"/>
        <v>Infrastructure</v>
      </c>
      <c r="W200" s="10" t="s">
        <v>6</v>
      </c>
      <c r="X200" s="10" t="s">
        <v>86</v>
      </c>
      <c r="Y200" s="10"/>
      <c r="Z200" s="10"/>
      <c r="AA200" s="10"/>
      <c r="AB200" s="94"/>
      <c r="AC200" s="10"/>
      <c r="AD200" s="10"/>
      <c r="AE200" s="10"/>
      <c r="AF200" s="10"/>
      <c r="AG200" s="10"/>
      <c r="AH200" s="11"/>
    </row>
    <row r="201" spans="1:34" x14ac:dyDescent="0.2">
      <c r="A201" s="93" t="str">
        <f t="shared" si="14"/>
        <v>QF01012-NES-C04518-SDW-CIV-01-Z00000-2FL0651</v>
      </c>
      <c r="B201" s="8" t="s">
        <v>2697</v>
      </c>
      <c r="C201" s="64" t="s">
        <v>2719</v>
      </c>
      <c r="D201" s="8" t="s">
        <v>70</v>
      </c>
      <c r="E201" s="8" t="s">
        <v>71</v>
      </c>
      <c r="F201" s="9" t="s">
        <v>72</v>
      </c>
      <c r="G201" s="9" t="s">
        <v>144</v>
      </c>
      <c r="H201" s="25">
        <v>46372</v>
      </c>
      <c r="I201" s="25" t="s">
        <v>286</v>
      </c>
      <c r="J201" s="9"/>
      <c r="K201" s="9"/>
      <c r="L201" s="9" t="s">
        <v>76</v>
      </c>
      <c r="M201" s="9" t="s">
        <v>77</v>
      </c>
      <c r="N201" s="9" t="s">
        <v>78</v>
      </c>
      <c r="O201" s="9" t="s">
        <v>79</v>
      </c>
      <c r="P201" s="9" t="s">
        <v>80</v>
      </c>
      <c r="Q201" s="9" t="s">
        <v>81</v>
      </c>
      <c r="R201" s="9" t="s">
        <v>115</v>
      </c>
      <c r="S201" s="9" t="s">
        <v>83</v>
      </c>
      <c r="T201" s="9" t="s">
        <v>84</v>
      </c>
      <c r="U201" s="9" t="s">
        <v>2744</v>
      </c>
      <c r="V201" s="24" t="str">
        <f t="shared" si="13"/>
        <v>Infrastructure</v>
      </c>
      <c r="W201" s="10" t="s">
        <v>6</v>
      </c>
      <c r="X201" s="10" t="s">
        <v>86</v>
      </c>
      <c r="Y201" s="10"/>
      <c r="Z201" s="10"/>
      <c r="AA201" s="10"/>
      <c r="AB201" s="94"/>
      <c r="AC201" s="10"/>
      <c r="AD201" s="10"/>
      <c r="AE201" s="10"/>
      <c r="AF201" s="10"/>
      <c r="AG201" s="10"/>
      <c r="AH201" s="11"/>
    </row>
    <row r="202" spans="1:34" x14ac:dyDescent="0.2">
      <c r="A202" s="93" t="str">
        <f t="shared" si="14"/>
        <v>QF01012-NES-C04518-SDW-CIV-02-Z00000-2FL0652</v>
      </c>
      <c r="B202" s="8" t="s">
        <v>2698</v>
      </c>
      <c r="C202" s="64" t="s">
        <v>2719</v>
      </c>
      <c r="D202" s="8" t="s">
        <v>70</v>
      </c>
      <c r="E202" s="8" t="s">
        <v>71</v>
      </c>
      <c r="F202" s="9" t="s">
        <v>72</v>
      </c>
      <c r="G202" s="9" t="s">
        <v>144</v>
      </c>
      <c r="H202" s="25">
        <v>46372</v>
      </c>
      <c r="I202" s="25" t="s">
        <v>286</v>
      </c>
      <c r="J202" s="9"/>
      <c r="K202" s="9"/>
      <c r="L202" s="9" t="s">
        <v>76</v>
      </c>
      <c r="M202" s="9" t="s">
        <v>77</v>
      </c>
      <c r="N202" s="9" t="s">
        <v>78</v>
      </c>
      <c r="O202" s="9" t="s">
        <v>79</v>
      </c>
      <c r="P202" s="9" t="s">
        <v>80</v>
      </c>
      <c r="Q202" s="9" t="s">
        <v>91</v>
      </c>
      <c r="R202" s="9" t="s">
        <v>115</v>
      </c>
      <c r="S202" s="9" t="s">
        <v>83</v>
      </c>
      <c r="T202" s="9" t="s">
        <v>84</v>
      </c>
      <c r="U202" s="9" t="s">
        <v>2745</v>
      </c>
      <c r="V202" s="24" t="str">
        <f t="shared" si="13"/>
        <v>Infrastructure</v>
      </c>
      <c r="W202" s="10" t="s">
        <v>6</v>
      </c>
      <c r="X202" s="10" t="s">
        <v>86</v>
      </c>
      <c r="Y202" s="10"/>
      <c r="Z202" s="10"/>
      <c r="AA202" s="10"/>
      <c r="AB202" s="94"/>
      <c r="AC202" s="10"/>
      <c r="AD202" s="10"/>
      <c r="AE202" s="10"/>
      <c r="AF202" s="10"/>
      <c r="AG202" s="10"/>
      <c r="AH202" s="11"/>
    </row>
    <row r="203" spans="1:34" x14ac:dyDescent="0.2">
      <c r="A203" s="93" t="str">
        <f t="shared" si="14"/>
        <v>QF01012-NES-C04518-SDW-CIV-03-Z00000-2FL0653</v>
      </c>
      <c r="B203" s="8" t="s">
        <v>2699</v>
      </c>
      <c r="C203" s="64" t="s">
        <v>2719</v>
      </c>
      <c r="D203" s="8" t="s">
        <v>70</v>
      </c>
      <c r="E203" s="8" t="s">
        <v>71</v>
      </c>
      <c r="F203" s="9" t="s">
        <v>72</v>
      </c>
      <c r="G203" s="9" t="s">
        <v>144</v>
      </c>
      <c r="H203" s="25">
        <v>46372</v>
      </c>
      <c r="I203" s="25" t="s">
        <v>286</v>
      </c>
      <c r="J203" s="9"/>
      <c r="K203" s="9"/>
      <c r="L203" s="9" t="s">
        <v>76</v>
      </c>
      <c r="M203" s="9" t="s">
        <v>77</v>
      </c>
      <c r="N203" s="9" t="s">
        <v>78</v>
      </c>
      <c r="O203" s="9" t="s">
        <v>79</v>
      </c>
      <c r="P203" s="9" t="s">
        <v>80</v>
      </c>
      <c r="Q203" s="9" t="s">
        <v>94</v>
      </c>
      <c r="R203" s="9" t="s">
        <v>115</v>
      </c>
      <c r="S203" s="9" t="s">
        <v>83</v>
      </c>
      <c r="T203" s="9" t="s">
        <v>84</v>
      </c>
      <c r="U203" s="9" t="s">
        <v>2746</v>
      </c>
      <c r="V203" s="24" t="str">
        <f t="shared" si="13"/>
        <v>Infrastructure</v>
      </c>
      <c r="W203" s="10" t="s">
        <v>6</v>
      </c>
      <c r="X203" s="10" t="s">
        <v>86</v>
      </c>
      <c r="Y203" s="10"/>
      <c r="Z203" s="10"/>
      <c r="AA203" s="10"/>
      <c r="AB203" s="94"/>
      <c r="AC203" s="10"/>
      <c r="AD203" s="10"/>
      <c r="AE203" s="10"/>
      <c r="AF203" s="10"/>
      <c r="AG203" s="10"/>
      <c r="AH203" s="11"/>
    </row>
    <row r="204" spans="1:34" x14ac:dyDescent="0.2">
      <c r="A204" s="93" t="str">
        <f t="shared" si="14"/>
        <v>QF01012-NES-C04518-SDW-CIV-04-Z00000-2FL0654</v>
      </c>
      <c r="B204" s="8" t="s">
        <v>2700</v>
      </c>
      <c r="C204" s="64" t="s">
        <v>2719</v>
      </c>
      <c r="D204" s="8" t="s">
        <v>70</v>
      </c>
      <c r="E204" s="8" t="s">
        <v>71</v>
      </c>
      <c r="F204" s="9" t="s">
        <v>72</v>
      </c>
      <c r="G204" s="9" t="s">
        <v>144</v>
      </c>
      <c r="H204" s="25">
        <v>46372</v>
      </c>
      <c r="I204" s="25" t="s">
        <v>286</v>
      </c>
      <c r="J204" s="9"/>
      <c r="K204" s="9"/>
      <c r="L204" s="9" t="s">
        <v>76</v>
      </c>
      <c r="M204" s="9" t="s">
        <v>77</v>
      </c>
      <c r="N204" s="9" t="s">
        <v>78</v>
      </c>
      <c r="O204" s="9" t="s">
        <v>79</v>
      </c>
      <c r="P204" s="9" t="s">
        <v>80</v>
      </c>
      <c r="Q204" s="9" t="s">
        <v>97</v>
      </c>
      <c r="R204" s="9" t="s">
        <v>115</v>
      </c>
      <c r="S204" s="9" t="s">
        <v>83</v>
      </c>
      <c r="T204" s="9" t="s">
        <v>84</v>
      </c>
      <c r="U204" s="9" t="s">
        <v>2747</v>
      </c>
      <c r="V204" s="24" t="str">
        <f t="shared" si="13"/>
        <v>Infrastructure</v>
      </c>
      <c r="W204" s="10" t="s">
        <v>6</v>
      </c>
      <c r="X204" s="10" t="s">
        <v>86</v>
      </c>
      <c r="Y204" s="10"/>
      <c r="Z204" s="10"/>
      <c r="AA204" s="10"/>
      <c r="AB204" s="94"/>
      <c r="AC204" s="10"/>
      <c r="AD204" s="10"/>
      <c r="AE204" s="10"/>
      <c r="AF204" s="10"/>
      <c r="AG204" s="10"/>
      <c r="AH204" s="11"/>
    </row>
    <row r="205" spans="1:34" x14ac:dyDescent="0.2">
      <c r="A205" s="93" t="str">
        <f t="shared" si="14"/>
        <v>QF01012-NES-C04518-SDW-CIV-05-Z00000-2FL0655</v>
      </c>
      <c r="B205" s="8" t="s">
        <v>2701</v>
      </c>
      <c r="C205" s="64" t="s">
        <v>2719</v>
      </c>
      <c r="D205" s="8" t="s">
        <v>70</v>
      </c>
      <c r="E205" s="8" t="s">
        <v>71</v>
      </c>
      <c r="F205" s="9" t="s">
        <v>72</v>
      </c>
      <c r="G205" s="9" t="s">
        <v>144</v>
      </c>
      <c r="H205" s="25">
        <v>46372</v>
      </c>
      <c r="I205" s="25" t="s">
        <v>286</v>
      </c>
      <c r="J205" s="9"/>
      <c r="K205" s="9"/>
      <c r="L205" s="9" t="s">
        <v>76</v>
      </c>
      <c r="M205" s="9" t="s">
        <v>77</v>
      </c>
      <c r="N205" s="9" t="s">
        <v>78</v>
      </c>
      <c r="O205" s="9" t="s">
        <v>79</v>
      </c>
      <c r="P205" s="9" t="s">
        <v>80</v>
      </c>
      <c r="Q205" s="9" t="s">
        <v>152</v>
      </c>
      <c r="R205" s="9" t="s">
        <v>115</v>
      </c>
      <c r="S205" s="9" t="s">
        <v>83</v>
      </c>
      <c r="T205" s="9" t="s">
        <v>84</v>
      </c>
      <c r="U205" s="9" t="s">
        <v>2748</v>
      </c>
      <c r="V205" s="24" t="str">
        <f t="shared" si="13"/>
        <v>Infrastructure</v>
      </c>
      <c r="W205" s="10" t="s">
        <v>6</v>
      </c>
      <c r="X205" s="10" t="s">
        <v>86</v>
      </c>
      <c r="Y205" s="10"/>
      <c r="Z205" s="10"/>
      <c r="AA205" s="10"/>
      <c r="AB205" s="94"/>
      <c r="AC205" s="10"/>
      <c r="AD205" s="10"/>
      <c r="AE205" s="10"/>
      <c r="AF205" s="10"/>
      <c r="AG205" s="10"/>
      <c r="AH205" s="11"/>
    </row>
    <row r="206" spans="1:34" x14ac:dyDescent="0.2">
      <c r="A206" s="43" t="str">
        <f t="shared" si="9"/>
        <v>QF01012-NES-C04518-SDW-CIV-06-Z00000-2FL0656</v>
      </c>
      <c r="B206" s="8" t="s">
        <v>2702</v>
      </c>
      <c r="C206" s="64" t="s">
        <v>2719</v>
      </c>
      <c r="D206" s="8" t="s">
        <v>70</v>
      </c>
      <c r="E206" s="8" t="s">
        <v>71</v>
      </c>
      <c r="F206" s="9" t="s">
        <v>72</v>
      </c>
      <c r="G206" s="9" t="s">
        <v>144</v>
      </c>
      <c r="H206" s="25">
        <v>46372</v>
      </c>
      <c r="I206" s="25" t="s">
        <v>286</v>
      </c>
      <c r="J206" s="9"/>
      <c r="K206" s="9"/>
      <c r="L206" s="9" t="s">
        <v>76</v>
      </c>
      <c r="M206" s="9" t="s">
        <v>77</v>
      </c>
      <c r="N206" s="9" t="s">
        <v>78</v>
      </c>
      <c r="O206" s="9" t="s">
        <v>79</v>
      </c>
      <c r="P206" s="9" t="s">
        <v>80</v>
      </c>
      <c r="Q206" s="9" t="s">
        <v>155</v>
      </c>
      <c r="R206" s="9" t="s">
        <v>115</v>
      </c>
      <c r="S206" s="9" t="s">
        <v>83</v>
      </c>
      <c r="T206" s="9" t="s">
        <v>84</v>
      </c>
      <c r="U206" s="9" t="s">
        <v>2749</v>
      </c>
      <c r="V206" s="24" t="str">
        <f t="shared" si="13"/>
        <v>Infrastructure</v>
      </c>
      <c r="W206" s="10" t="s">
        <v>6</v>
      </c>
      <c r="X206" s="10" t="s">
        <v>86</v>
      </c>
      <c r="Y206" s="10"/>
      <c r="Z206" s="10"/>
      <c r="AA206" s="10"/>
      <c r="AB206" s="22"/>
      <c r="AC206" s="10"/>
      <c r="AD206" s="10"/>
      <c r="AE206" s="10"/>
      <c r="AF206" s="10"/>
      <c r="AG206" s="10"/>
      <c r="AH206" s="11"/>
    </row>
    <row r="207" spans="1:34" x14ac:dyDescent="0.2">
      <c r="A207" s="43" t="str">
        <f t="shared" si="9"/>
        <v>QF01012-NES-C04518-SDW-CIV-07-Z00000-2FL0657</v>
      </c>
      <c r="B207" s="8" t="s">
        <v>2703</v>
      </c>
      <c r="C207" s="64" t="s">
        <v>2719</v>
      </c>
      <c r="D207" s="8" t="s">
        <v>70</v>
      </c>
      <c r="E207" s="8" t="s">
        <v>71</v>
      </c>
      <c r="F207" s="9" t="s">
        <v>72</v>
      </c>
      <c r="G207" s="9" t="s">
        <v>144</v>
      </c>
      <c r="H207" s="25">
        <v>46372</v>
      </c>
      <c r="I207" s="25" t="s">
        <v>286</v>
      </c>
      <c r="J207" s="9"/>
      <c r="K207" s="9"/>
      <c r="L207" s="9" t="s">
        <v>76</v>
      </c>
      <c r="M207" s="9" t="s">
        <v>77</v>
      </c>
      <c r="N207" s="9" t="s">
        <v>78</v>
      </c>
      <c r="O207" s="9" t="s">
        <v>79</v>
      </c>
      <c r="P207" s="9" t="s">
        <v>80</v>
      </c>
      <c r="Q207" s="9" t="s">
        <v>167</v>
      </c>
      <c r="R207" s="9" t="s">
        <v>115</v>
      </c>
      <c r="S207" s="9" t="s">
        <v>83</v>
      </c>
      <c r="T207" s="9" t="s">
        <v>84</v>
      </c>
      <c r="U207" s="9" t="s">
        <v>2750</v>
      </c>
      <c r="V207" s="24" t="str">
        <f t="shared" si="13"/>
        <v>Infrastructure</v>
      </c>
      <c r="W207" s="10" t="s">
        <v>6</v>
      </c>
      <c r="X207" s="10" t="s">
        <v>86</v>
      </c>
      <c r="Y207" s="10"/>
      <c r="Z207" s="10"/>
      <c r="AA207" s="10"/>
      <c r="AB207" s="22"/>
      <c r="AC207" s="10"/>
      <c r="AD207" s="10"/>
      <c r="AE207" s="10"/>
      <c r="AF207" s="10"/>
      <c r="AG207" s="10"/>
      <c r="AH207" s="11"/>
    </row>
    <row r="208" spans="1:34" x14ac:dyDescent="0.2">
      <c r="A208" s="56" t="str">
        <f t="shared" si="9"/>
        <v>QF01012-NES-C04518-SDW-CIV-08-Z00000-2FL0658</v>
      </c>
      <c r="B208" s="8" t="s">
        <v>2704</v>
      </c>
      <c r="C208" s="64" t="s">
        <v>2719</v>
      </c>
      <c r="D208" s="8" t="s">
        <v>70</v>
      </c>
      <c r="E208" s="8" t="s">
        <v>71</v>
      </c>
      <c r="F208" s="9" t="s">
        <v>72</v>
      </c>
      <c r="G208" s="9" t="s">
        <v>144</v>
      </c>
      <c r="H208" s="25">
        <v>46372</v>
      </c>
      <c r="I208" s="25" t="s">
        <v>286</v>
      </c>
      <c r="J208" s="9"/>
      <c r="K208" s="58"/>
      <c r="L208" s="9" t="s">
        <v>76</v>
      </c>
      <c r="M208" s="9" t="s">
        <v>77</v>
      </c>
      <c r="N208" s="9" t="s">
        <v>78</v>
      </c>
      <c r="O208" s="9" t="s">
        <v>79</v>
      </c>
      <c r="P208" s="9" t="s">
        <v>80</v>
      </c>
      <c r="Q208" s="9" t="s">
        <v>170</v>
      </c>
      <c r="R208" s="9" t="s">
        <v>115</v>
      </c>
      <c r="S208" s="9" t="s">
        <v>83</v>
      </c>
      <c r="T208" s="9" t="s">
        <v>84</v>
      </c>
      <c r="U208" s="9" t="s">
        <v>2751</v>
      </c>
      <c r="V208" s="24" t="str">
        <f t="shared" si="13"/>
        <v>Infrastructure</v>
      </c>
      <c r="W208" s="10" t="s">
        <v>6</v>
      </c>
      <c r="X208" s="10" t="s">
        <v>86</v>
      </c>
      <c r="Y208" s="60"/>
      <c r="Z208" s="60"/>
      <c r="AA208" s="60"/>
      <c r="AB208" s="61"/>
      <c r="AC208" s="60"/>
      <c r="AD208" s="60"/>
      <c r="AE208" s="60"/>
      <c r="AF208" s="60"/>
      <c r="AG208" s="60"/>
      <c r="AH208" s="62"/>
    </row>
    <row r="209" spans="1:34" x14ac:dyDescent="0.2">
      <c r="A209" s="43" t="str">
        <f t="shared" si="9"/>
        <v>QF01012-NES-C04518-SDW-CIV-09-Z00000-2FL0659</v>
      </c>
      <c r="B209" s="8" t="s">
        <v>2705</v>
      </c>
      <c r="C209" s="64" t="s">
        <v>2719</v>
      </c>
      <c r="D209" s="8" t="s">
        <v>70</v>
      </c>
      <c r="E209" s="8" t="s">
        <v>71</v>
      </c>
      <c r="F209" s="9" t="s">
        <v>72</v>
      </c>
      <c r="G209" s="9" t="s">
        <v>144</v>
      </c>
      <c r="H209" s="25">
        <v>46372</v>
      </c>
      <c r="I209" s="25" t="s">
        <v>286</v>
      </c>
      <c r="J209" s="9"/>
      <c r="K209" s="58"/>
      <c r="L209" s="9" t="s">
        <v>76</v>
      </c>
      <c r="M209" s="9" t="s">
        <v>77</v>
      </c>
      <c r="N209" s="9" t="s">
        <v>78</v>
      </c>
      <c r="O209" s="9" t="s">
        <v>79</v>
      </c>
      <c r="P209" s="9" t="s">
        <v>80</v>
      </c>
      <c r="Q209" s="9" t="s">
        <v>173</v>
      </c>
      <c r="R209" s="9" t="s">
        <v>115</v>
      </c>
      <c r="S209" s="9" t="s">
        <v>83</v>
      </c>
      <c r="T209" s="9" t="s">
        <v>84</v>
      </c>
      <c r="U209" s="9" t="s">
        <v>2752</v>
      </c>
      <c r="V209" s="24" t="str">
        <f t="shared" si="13"/>
        <v>Infrastructure</v>
      </c>
      <c r="W209" s="10" t="s">
        <v>6</v>
      </c>
      <c r="X209" s="10" t="s">
        <v>86</v>
      </c>
      <c r="Y209" s="60"/>
      <c r="Z209" s="60"/>
      <c r="AA209" s="60"/>
      <c r="AB209" s="61"/>
      <c r="AC209" s="60"/>
      <c r="AD209" s="60"/>
      <c r="AE209" s="60"/>
      <c r="AF209" s="60"/>
      <c r="AG209" s="60"/>
      <c r="AH209" s="62"/>
    </row>
    <row r="210" spans="1:34" x14ac:dyDescent="0.2">
      <c r="A210" s="43" t="str">
        <f t="shared" si="9"/>
        <v>QF01012-NES-C04518-SDW-CIV-01-Z00000-3FL0671</v>
      </c>
      <c r="B210" s="8" t="s">
        <v>2706</v>
      </c>
      <c r="C210" s="64" t="s">
        <v>2719</v>
      </c>
      <c r="D210" s="8" t="s">
        <v>70</v>
      </c>
      <c r="E210" s="8" t="s">
        <v>71</v>
      </c>
      <c r="F210" s="9" t="s">
        <v>72</v>
      </c>
      <c r="G210" s="9" t="s">
        <v>144</v>
      </c>
      <c r="H210" s="25">
        <v>46372</v>
      </c>
      <c r="I210" s="25" t="s">
        <v>286</v>
      </c>
      <c r="J210" s="9"/>
      <c r="K210" s="58"/>
      <c r="L210" s="9" t="s">
        <v>76</v>
      </c>
      <c r="M210" s="9" t="s">
        <v>77</v>
      </c>
      <c r="N210" s="9" t="s">
        <v>78</v>
      </c>
      <c r="O210" s="9" t="s">
        <v>79</v>
      </c>
      <c r="P210" s="9" t="s">
        <v>80</v>
      </c>
      <c r="Q210" s="9" t="s">
        <v>81</v>
      </c>
      <c r="R210" s="9" t="s">
        <v>115</v>
      </c>
      <c r="S210" s="9" t="s">
        <v>88</v>
      </c>
      <c r="T210" s="9" t="s">
        <v>84</v>
      </c>
      <c r="U210" s="9" t="s">
        <v>2753</v>
      </c>
      <c r="V210" s="24" t="str">
        <f t="shared" si="13"/>
        <v>Infrastructure</v>
      </c>
      <c r="W210" s="10" t="s">
        <v>6</v>
      </c>
      <c r="X210" s="10" t="s">
        <v>86</v>
      </c>
      <c r="Y210" s="60"/>
      <c r="Z210" s="60"/>
      <c r="AA210" s="60"/>
      <c r="AB210" s="61"/>
      <c r="AC210" s="60"/>
      <c r="AD210" s="60"/>
      <c r="AE210" s="60"/>
      <c r="AF210" s="60"/>
      <c r="AG210" s="60"/>
      <c r="AH210" s="62"/>
    </row>
    <row r="211" spans="1:34" x14ac:dyDescent="0.2">
      <c r="A211" s="43" t="str">
        <f t="shared" si="9"/>
        <v>QF01012-NES-C04518-SDW-CIV-02-Z00000-3FL0672</v>
      </c>
      <c r="B211" s="8" t="s">
        <v>2707</v>
      </c>
      <c r="C211" s="64" t="s">
        <v>2719</v>
      </c>
      <c r="D211" s="8" t="s">
        <v>70</v>
      </c>
      <c r="E211" s="8" t="s">
        <v>71</v>
      </c>
      <c r="F211" s="9" t="s">
        <v>72</v>
      </c>
      <c r="G211" s="9" t="s">
        <v>144</v>
      </c>
      <c r="H211" s="25">
        <v>46372</v>
      </c>
      <c r="I211" s="25" t="s">
        <v>286</v>
      </c>
      <c r="J211" s="9"/>
      <c r="K211" s="58"/>
      <c r="L211" s="9" t="s">
        <v>76</v>
      </c>
      <c r="M211" s="9" t="s">
        <v>77</v>
      </c>
      <c r="N211" s="9" t="s">
        <v>78</v>
      </c>
      <c r="O211" s="9" t="s">
        <v>79</v>
      </c>
      <c r="P211" s="9" t="s">
        <v>80</v>
      </c>
      <c r="Q211" s="9" t="s">
        <v>91</v>
      </c>
      <c r="R211" s="9" t="s">
        <v>115</v>
      </c>
      <c r="S211" s="9" t="s">
        <v>88</v>
      </c>
      <c r="T211" s="9" t="s">
        <v>84</v>
      </c>
      <c r="U211" s="9" t="s">
        <v>2754</v>
      </c>
      <c r="V211" s="24" t="str">
        <f t="shared" si="13"/>
        <v>Infrastructure</v>
      </c>
      <c r="W211" s="10" t="s">
        <v>6</v>
      </c>
      <c r="X211" s="10" t="s">
        <v>86</v>
      </c>
      <c r="Y211" s="60"/>
      <c r="Z211" s="60"/>
      <c r="AA211" s="60"/>
      <c r="AB211" s="61"/>
      <c r="AC211" s="60"/>
      <c r="AD211" s="60"/>
      <c r="AE211" s="60"/>
      <c r="AF211" s="60"/>
      <c r="AG211" s="60"/>
      <c r="AH211" s="62"/>
    </row>
    <row r="212" spans="1:34" x14ac:dyDescent="0.2">
      <c r="A212" s="43" t="str">
        <f>CONCATENATE(TRIM(L212),"-",TRIM(M212),"-",TRIM(N212),"-",TRIM(O212),"-",TRIM(P212),"-",TRIM(Q212),"-",TRIM(R212),"-",TRIM(S212),TRIM(T212),TRIM(U212))</f>
        <v>QF01012-NES-C04518-SDW-CIV-03-Z00000-3FL0673</v>
      </c>
      <c r="B212" s="8" t="s">
        <v>2708</v>
      </c>
      <c r="C212" s="64" t="s">
        <v>2719</v>
      </c>
      <c r="D212" s="8" t="s">
        <v>70</v>
      </c>
      <c r="E212" s="8" t="s">
        <v>71</v>
      </c>
      <c r="F212" s="9" t="s">
        <v>72</v>
      </c>
      <c r="G212" s="9" t="s">
        <v>144</v>
      </c>
      <c r="H212" s="25">
        <v>46372</v>
      </c>
      <c r="I212" s="25" t="s">
        <v>286</v>
      </c>
      <c r="J212" s="9"/>
      <c r="K212" s="58"/>
      <c r="L212" s="9" t="s">
        <v>76</v>
      </c>
      <c r="M212" s="9" t="s">
        <v>77</v>
      </c>
      <c r="N212" s="9" t="s">
        <v>78</v>
      </c>
      <c r="O212" s="9" t="s">
        <v>79</v>
      </c>
      <c r="P212" s="9" t="s">
        <v>80</v>
      </c>
      <c r="Q212" s="9" t="s">
        <v>94</v>
      </c>
      <c r="R212" s="9" t="s">
        <v>115</v>
      </c>
      <c r="S212" s="9" t="s">
        <v>88</v>
      </c>
      <c r="T212" s="9" t="s">
        <v>84</v>
      </c>
      <c r="U212" s="9" t="s">
        <v>2755</v>
      </c>
      <c r="V212" s="24" t="str">
        <f t="shared" si="13"/>
        <v>Infrastructure</v>
      </c>
      <c r="W212" s="10" t="s">
        <v>6</v>
      </c>
      <c r="X212" s="10" t="s">
        <v>86</v>
      </c>
      <c r="Y212" s="60"/>
      <c r="Z212" s="60"/>
      <c r="AA212" s="60"/>
      <c r="AB212" s="61"/>
      <c r="AC212" s="60"/>
      <c r="AD212" s="60"/>
      <c r="AE212" s="60"/>
      <c r="AF212" s="60"/>
      <c r="AG212" s="60"/>
      <c r="AH212" s="62"/>
    </row>
    <row r="213" spans="1:34" x14ac:dyDescent="0.2">
      <c r="A213" s="56" t="str">
        <f>CONCATENATE(TRIM(L213),"-",TRIM(M213),"-",TRIM(N213),"-",TRIM(O213),"-",TRIM(P213),"-",TRIM(Q213),"-",TRIM(R213),"-",TRIM(S213),TRIM(T213),TRIM(U213))</f>
        <v>QF01012-NES-C04518-SDW-CIV-04-Z00000-3FL0674</v>
      </c>
      <c r="B213" s="8" t="s">
        <v>2709</v>
      </c>
      <c r="C213" s="64" t="s">
        <v>2719</v>
      </c>
      <c r="D213" s="8" t="s">
        <v>70</v>
      </c>
      <c r="E213" s="8" t="s">
        <v>71</v>
      </c>
      <c r="F213" s="9" t="s">
        <v>72</v>
      </c>
      <c r="G213" s="9" t="s">
        <v>144</v>
      </c>
      <c r="H213" s="25">
        <v>46372</v>
      </c>
      <c r="I213" s="25" t="s">
        <v>286</v>
      </c>
      <c r="J213" s="9"/>
      <c r="K213" s="58"/>
      <c r="L213" s="9" t="s">
        <v>76</v>
      </c>
      <c r="M213" s="9" t="s">
        <v>77</v>
      </c>
      <c r="N213" s="9" t="s">
        <v>78</v>
      </c>
      <c r="O213" s="9" t="s">
        <v>79</v>
      </c>
      <c r="P213" s="9" t="s">
        <v>80</v>
      </c>
      <c r="Q213" s="9" t="s">
        <v>97</v>
      </c>
      <c r="R213" s="9" t="s">
        <v>115</v>
      </c>
      <c r="S213" s="9" t="s">
        <v>88</v>
      </c>
      <c r="T213" s="9" t="s">
        <v>84</v>
      </c>
      <c r="U213" s="9" t="s">
        <v>2756</v>
      </c>
      <c r="V213" s="24" t="str">
        <f t="shared" si="13"/>
        <v>Infrastructure</v>
      </c>
      <c r="W213" s="10" t="s">
        <v>6</v>
      </c>
      <c r="X213" s="10" t="s">
        <v>86</v>
      </c>
      <c r="Y213" s="60"/>
      <c r="Z213" s="60"/>
      <c r="AA213" s="60"/>
      <c r="AB213" s="61"/>
      <c r="AC213" s="60"/>
      <c r="AD213" s="60"/>
      <c r="AE213" s="60"/>
      <c r="AF213" s="60"/>
      <c r="AG213" s="60"/>
      <c r="AH213" s="62"/>
    </row>
    <row r="214" spans="1:34" x14ac:dyDescent="0.2">
      <c r="A214" s="43" t="str">
        <f t="shared" si="9"/>
        <v>QF01012-NES-C04518-SDW-CIV-05-Z00000-3FL0675</v>
      </c>
      <c r="B214" s="8" t="s">
        <v>2710</v>
      </c>
      <c r="C214" s="64" t="s">
        <v>2719</v>
      </c>
      <c r="D214" s="8" t="s">
        <v>70</v>
      </c>
      <c r="E214" s="8" t="s">
        <v>71</v>
      </c>
      <c r="F214" s="9" t="s">
        <v>72</v>
      </c>
      <c r="G214" s="9" t="s">
        <v>144</v>
      </c>
      <c r="H214" s="25">
        <v>46372</v>
      </c>
      <c r="I214" s="25" t="s">
        <v>286</v>
      </c>
      <c r="J214" s="9"/>
      <c r="K214" s="58"/>
      <c r="L214" s="9" t="s">
        <v>76</v>
      </c>
      <c r="M214" s="9" t="s">
        <v>77</v>
      </c>
      <c r="N214" s="9" t="s">
        <v>78</v>
      </c>
      <c r="O214" s="9" t="s">
        <v>79</v>
      </c>
      <c r="P214" s="9" t="s">
        <v>80</v>
      </c>
      <c r="Q214" s="9" t="s">
        <v>152</v>
      </c>
      <c r="R214" s="9" t="s">
        <v>115</v>
      </c>
      <c r="S214" s="9" t="s">
        <v>88</v>
      </c>
      <c r="T214" s="9" t="s">
        <v>84</v>
      </c>
      <c r="U214" s="9" t="s">
        <v>2757</v>
      </c>
      <c r="V214" s="24" t="str">
        <f t="shared" si="13"/>
        <v>Infrastructure</v>
      </c>
      <c r="W214" s="10" t="s">
        <v>6</v>
      </c>
      <c r="X214" s="10" t="s">
        <v>86</v>
      </c>
      <c r="Y214" s="60"/>
      <c r="Z214" s="60"/>
      <c r="AA214" s="60"/>
      <c r="AB214" s="61"/>
      <c r="AC214" s="60"/>
      <c r="AD214" s="60"/>
      <c r="AE214" s="60"/>
      <c r="AF214" s="60"/>
      <c r="AG214" s="60"/>
      <c r="AH214" s="62"/>
    </row>
    <row r="215" spans="1:34" x14ac:dyDescent="0.2">
      <c r="A215" s="43" t="str">
        <f t="shared" si="9"/>
        <v>QF01012-NES-C04518-SDW-CIV-01-Z00000-3FL0681</v>
      </c>
      <c r="B215" s="8" t="s">
        <v>2711</v>
      </c>
      <c r="C215" s="64" t="s">
        <v>2719</v>
      </c>
      <c r="D215" s="8" t="s">
        <v>70</v>
      </c>
      <c r="E215" s="8" t="s">
        <v>71</v>
      </c>
      <c r="F215" s="9" t="s">
        <v>72</v>
      </c>
      <c r="G215" s="9" t="s">
        <v>144</v>
      </c>
      <c r="H215" s="25">
        <v>46372</v>
      </c>
      <c r="I215" s="25" t="s">
        <v>286</v>
      </c>
      <c r="J215" s="9"/>
      <c r="K215" s="58"/>
      <c r="L215" s="9" t="s">
        <v>76</v>
      </c>
      <c r="M215" s="9" t="s">
        <v>77</v>
      </c>
      <c r="N215" s="9" t="s">
        <v>78</v>
      </c>
      <c r="O215" s="9" t="s">
        <v>79</v>
      </c>
      <c r="P215" s="9" t="s">
        <v>80</v>
      </c>
      <c r="Q215" s="9" t="s">
        <v>81</v>
      </c>
      <c r="R215" s="9" t="s">
        <v>115</v>
      </c>
      <c r="S215" s="9" t="s">
        <v>88</v>
      </c>
      <c r="T215" s="9" t="s">
        <v>84</v>
      </c>
      <c r="U215" s="9" t="s">
        <v>2758</v>
      </c>
      <c r="V215" s="24" t="str">
        <f t="shared" si="13"/>
        <v>Infrastructure</v>
      </c>
      <c r="W215" s="10" t="s">
        <v>6</v>
      </c>
      <c r="X215" s="10" t="s">
        <v>86</v>
      </c>
      <c r="Y215" s="60"/>
      <c r="Z215" s="60"/>
      <c r="AA215" s="60"/>
      <c r="AB215" s="61"/>
      <c r="AC215" s="60"/>
      <c r="AD215" s="60"/>
      <c r="AE215" s="60"/>
      <c r="AF215" s="60"/>
      <c r="AG215" s="60"/>
      <c r="AH215" s="62"/>
    </row>
    <row r="216" spans="1:34" x14ac:dyDescent="0.2">
      <c r="A216" s="56" t="str">
        <f t="shared" si="9"/>
        <v>QF01012-NES-C04518-SDW-CIV-02-Z00000-3FL0682</v>
      </c>
      <c r="B216" s="8" t="s">
        <v>2712</v>
      </c>
      <c r="C216" s="64" t="s">
        <v>2719</v>
      </c>
      <c r="D216" s="8" t="s">
        <v>70</v>
      </c>
      <c r="E216" s="8" t="s">
        <v>71</v>
      </c>
      <c r="F216" s="9" t="s">
        <v>72</v>
      </c>
      <c r="G216" s="9" t="s">
        <v>144</v>
      </c>
      <c r="H216" s="25">
        <v>46372</v>
      </c>
      <c r="I216" s="25" t="s">
        <v>286</v>
      </c>
      <c r="J216" s="9"/>
      <c r="K216" s="58"/>
      <c r="L216" s="9" t="s">
        <v>76</v>
      </c>
      <c r="M216" s="9" t="s">
        <v>77</v>
      </c>
      <c r="N216" s="9" t="s">
        <v>78</v>
      </c>
      <c r="O216" s="9" t="s">
        <v>79</v>
      </c>
      <c r="P216" s="9" t="s">
        <v>80</v>
      </c>
      <c r="Q216" s="9" t="s">
        <v>91</v>
      </c>
      <c r="R216" s="9" t="s">
        <v>115</v>
      </c>
      <c r="S216" s="9" t="s">
        <v>88</v>
      </c>
      <c r="T216" s="9" t="s">
        <v>84</v>
      </c>
      <c r="U216" s="9" t="s">
        <v>2759</v>
      </c>
      <c r="V216" s="24" t="str">
        <f t="shared" si="13"/>
        <v>Infrastructure</v>
      </c>
      <c r="W216" s="10" t="s">
        <v>6</v>
      </c>
      <c r="X216" s="10" t="s">
        <v>86</v>
      </c>
      <c r="Y216" s="60"/>
      <c r="Z216" s="60"/>
      <c r="AA216" s="60"/>
      <c r="AB216" s="61"/>
      <c r="AC216" s="60"/>
      <c r="AD216" s="60"/>
      <c r="AE216" s="60"/>
      <c r="AF216" s="60"/>
      <c r="AG216" s="60"/>
      <c r="AH216" s="62"/>
    </row>
    <row r="217" spans="1:34" x14ac:dyDescent="0.2">
      <c r="A217" s="43" t="str">
        <f t="shared" ref="A217:A219" si="15">CONCATENATE(TRIM(L217),"-",TRIM(M217),"-",TRIM(N217),"-",TRIM(O217),"-",TRIM(P217),"-",TRIM(Q217),"-",TRIM(R217),"-",TRIM(S217),TRIM(T217),TRIM(U217))</f>
        <v>QF01012-NES-C04518-SDW-CIV-03-Z00000-3FL0683</v>
      </c>
      <c r="B217" s="8" t="s">
        <v>2713</v>
      </c>
      <c r="C217" s="64" t="s">
        <v>2719</v>
      </c>
      <c r="D217" s="8" t="s">
        <v>70</v>
      </c>
      <c r="E217" s="8" t="s">
        <v>71</v>
      </c>
      <c r="F217" s="9" t="s">
        <v>72</v>
      </c>
      <c r="G217" s="9" t="s">
        <v>144</v>
      </c>
      <c r="H217" s="25">
        <v>46372</v>
      </c>
      <c r="I217" s="25" t="s">
        <v>286</v>
      </c>
      <c r="J217" s="9"/>
      <c r="K217" s="58"/>
      <c r="L217" s="9" t="s">
        <v>76</v>
      </c>
      <c r="M217" s="9" t="s">
        <v>77</v>
      </c>
      <c r="N217" s="9" t="s">
        <v>78</v>
      </c>
      <c r="O217" s="9" t="s">
        <v>79</v>
      </c>
      <c r="P217" s="9" t="s">
        <v>80</v>
      </c>
      <c r="Q217" s="9" t="s">
        <v>94</v>
      </c>
      <c r="R217" s="9" t="s">
        <v>115</v>
      </c>
      <c r="S217" s="9" t="s">
        <v>88</v>
      </c>
      <c r="T217" s="9" t="s">
        <v>84</v>
      </c>
      <c r="U217" s="9" t="s">
        <v>2760</v>
      </c>
      <c r="V217" s="24" t="str">
        <f t="shared" si="13"/>
        <v>Infrastructure</v>
      </c>
      <c r="W217" s="10" t="s">
        <v>6</v>
      </c>
      <c r="X217" s="10" t="s">
        <v>86</v>
      </c>
      <c r="Y217" s="60"/>
      <c r="Z217" s="60"/>
      <c r="AA217" s="60"/>
      <c r="AB217" s="61"/>
      <c r="AC217" s="60"/>
      <c r="AD217" s="60"/>
      <c r="AE217" s="60"/>
      <c r="AF217" s="60"/>
      <c r="AG217" s="60"/>
      <c r="AH217" s="62"/>
    </row>
    <row r="218" spans="1:34" x14ac:dyDescent="0.2">
      <c r="A218" s="43" t="str">
        <f t="shared" si="15"/>
        <v>QF01012-NES-C04518-SDW-CIV-04-Z00000-3FL0684</v>
      </c>
      <c r="B218" s="8" t="s">
        <v>2714</v>
      </c>
      <c r="C218" s="64" t="s">
        <v>2719</v>
      </c>
      <c r="D218" s="8" t="s">
        <v>70</v>
      </c>
      <c r="E218" s="8" t="s">
        <v>71</v>
      </c>
      <c r="F218" s="9" t="s">
        <v>72</v>
      </c>
      <c r="G218" s="9" t="s">
        <v>144</v>
      </c>
      <c r="H218" s="25">
        <v>46372</v>
      </c>
      <c r="I218" s="25" t="s">
        <v>286</v>
      </c>
      <c r="J218" s="9"/>
      <c r="K218" s="58"/>
      <c r="L218" s="9" t="s">
        <v>76</v>
      </c>
      <c r="M218" s="9" t="s">
        <v>77</v>
      </c>
      <c r="N218" s="9" t="s">
        <v>78</v>
      </c>
      <c r="O218" s="9" t="s">
        <v>79</v>
      </c>
      <c r="P218" s="9" t="s">
        <v>80</v>
      </c>
      <c r="Q218" s="9" t="s">
        <v>97</v>
      </c>
      <c r="R218" s="9" t="s">
        <v>115</v>
      </c>
      <c r="S218" s="9" t="s">
        <v>88</v>
      </c>
      <c r="T218" s="9" t="s">
        <v>84</v>
      </c>
      <c r="U218" s="9" t="s">
        <v>2761</v>
      </c>
      <c r="V218" s="24" t="str">
        <f t="shared" si="13"/>
        <v>Infrastructure</v>
      </c>
      <c r="W218" s="10" t="s">
        <v>6</v>
      </c>
      <c r="X218" s="10" t="s">
        <v>86</v>
      </c>
      <c r="Y218" s="60"/>
      <c r="Z218" s="60"/>
      <c r="AA218" s="60"/>
      <c r="AB218" s="61"/>
      <c r="AC218" s="60"/>
      <c r="AD218" s="60"/>
      <c r="AE218" s="60"/>
      <c r="AF218" s="60"/>
      <c r="AG218" s="60"/>
      <c r="AH218" s="62"/>
    </row>
    <row r="219" spans="1:34" x14ac:dyDescent="0.2">
      <c r="A219" s="56" t="str">
        <f t="shared" si="15"/>
        <v>QF01012-NES-C04518-SDW-CIV-05-Z00000-3FL0685</v>
      </c>
      <c r="B219" s="8" t="s">
        <v>2715</v>
      </c>
      <c r="C219" s="64" t="s">
        <v>2719</v>
      </c>
      <c r="D219" s="8" t="s">
        <v>70</v>
      </c>
      <c r="E219" s="8" t="s">
        <v>71</v>
      </c>
      <c r="F219" s="9" t="s">
        <v>72</v>
      </c>
      <c r="G219" s="9" t="s">
        <v>144</v>
      </c>
      <c r="H219" s="25">
        <v>46372</v>
      </c>
      <c r="I219" s="25" t="s">
        <v>286</v>
      </c>
      <c r="J219" s="9"/>
      <c r="K219" s="58"/>
      <c r="L219" s="9" t="s">
        <v>76</v>
      </c>
      <c r="M219" s="9" t="s">
        <v>77</v>
      </c>
      <c r="N219" s="9" t="s">
        <v>78</v>
      </c>
      <c r="O219" s="9" t="s">
        <v>79</v>
      </c>
      <c r="P219" s="9" t="s">
        <v>80</v>
      </c>
      <c r="Q219" s="9" t="s">
        <v>152</v>
      </c>
      <c r="R219" s="9" t="s">
        <v>115</v>
      </c>
      <c r="S219" s="9" t="s">
        <v>88</v>
      </c>
      <c r="T219" s="9" t="s">
        <v>84</v>
      </c>
      <c r="U219" s="9" t="s">
        <v>2762</v>
      </c>
      <c r="V219" s="24" t="str">
        <f t="shared" si="13"/>
        <v>Infrastructure</v>
      </c>
      <c r="W219" s="10" t="s">
        <v>6</v>
      </c>
      <c r="X219" s="10" t="s">
        <v>86</v>
      </c>
      <c r="Y219" s="60"/>
      <c r="Z219" s="60"/>
      <c r="AA219" s="60"/>
      <c r="AB219" s="61"/>
      <c r="AC219" s="60"/>
      <c r="AD219" s="60"/>
      <c r="AE219" s="60"/>
      <c r="AF219" s="60"/>
      <c r="AG219" s="60"/>
      <c r="AH219" s="62"/>
    </row>
    <row r="220" spans="1:34" x14ac:dyDescent="0.2">
      <c r="A220" s="56" t="str">
        <f>CONCATENATE(TRIM(L220),"-",TRIM(M220),"-",TRIM(N220),"-",TRIM(O220),"-",TRIM(P220),"-",TRIM(Q220),"-",TRIM(R220),"-",TRIM(S220),TRIM(T220),TRIM(U220))</f>
        <v>QF01012-NES-C04518-SDW-CIV-06-Z00000-3FL0686</v>
      </c>
      <c r="B220" s="8" t="s">
        <v>2716</v>
      </c>
      <c r="C220" s="64" t="s">
        <v>2719</v>
      </c>
      <c r="D220" s="8" t="s">
        <v>70</v>
      </c>
      <c r="E220" s="8" t="s">
        <v>71</v>
      </c>
      <c r="F220" s="9" t="s">
        <v>72</v>
      </c>
      <c r="G220" s="9" t="s">
        <v>144</v>
      </c>
      <c r="H220" s="25">
        <v>46372</v>
      </c>
      <c r="I220" s="25" t="s">
        <v>286</v>
      </c>
      <c r="J220" s="9"/>
      <c r="K220" s="58"/>
      <c r="L220" s="9" t="s">
        <v>76</v>
      </c>
      <c r="M220" s="9" t="s">
        <v>77</v>
      </c>
      <c r="N220" s="9" t="s">
        <v>78</v>
      </c>
      <c r="O220" s="9" t="s">
        <v>79</v>
      </c>
      <c r="P220" s="9" t="s">
        <v>80</v>
      </c>
      <c r="Q220" s="9" t="s">
        <v>155</v>
      </c>
      <c r="R220" s="9" t="s">
        <v>115</v>
      </c>
      <c r="S220" s="9" t="s">
        <v>88</v>
      </c>
      <c r="T220" s="9" t="s">
        <v>84</v>
      </c>
      <c r="U220" s="9" t="s">
        <v>2763</v>
      </c>
      <c r="V220" s="24" t="str">
        <f t="shared" si="13"/>
        <v>Infrastructure</v>
      </c>
      <c r="W220" s="10" t="s">
        <v>6</v>
      </c>
      <c r="X220" s="10" t="s">
        <v>86</v>
      </c>
      <c r="Y220" s="60"/>
      <c r="Z220" s="60"/>
      <c r="AA220" s="60"/>
      <c r="AB220" s="61"/>
      <c r="AC220" s="60"/>
      <c r="AD220" s="60"/>
      <c r="AE220" s="60"/>
      <c r="AF220" s="60"/>
      <c r="AG220" s="60"/>
      <c r="AH220" s="62"/>
    </row>
    <row r="221" spans="1:34" x14ac:dyDescent="0.2">
      <c r="A221" s="43" t="str">
        <f t="shared" ref="A221:A222" si="16">CONCATENATE(TRIM(L221),"-",TRIM(M221),"-",TRIM(N221),"-",TRIM(O221),"-",TRIM(P221),"-",TRIM(Q221),"-",TRIM(R221),"-",TRIM(S221),TRIM(T221),TRIM(U221))</f>
        <v>QF01012-NES-C04518-SDW-CIV-07-Z00000-3FL0687</v>
      </c>
      <c r="B221" s="8" t="s">
        <v>2717</v>
      </c>
      <c r="C221" s="64" t="s">
        <v>2719</v>
      </c>
      <c r="D221" s="8" t="s">
        <v>70</v>
      </c>
      <c r="E221" s="8" t="s">
        <v>71</v>
      </c>
      <c r="F221" s="9" t="s">
        <v>72</v>
      </c>
      <c r="G221" s="9" t="s">
        <v>144</v>
      </c>
      <c r="H221" s="25">
        <v>46372</v>
      </c>
      <c r="I221" s="25" t="s">
        <v>286</v>
      </c>
      <c r="J221" s="9"/>
      <c r="K221" s="9"/>
      <c r="L221" s="9" t="s">
        <v>76</v>
      </c>
      <c r="M221" s="9" t="s">
        <v>77</v>
      </c>
      <c r="N221" s="9" t="s">
        <v>78</v>
      </c>
      <c r="O221" s="9" t="s">
        <v>79</v>
      </c>
      <c r="P221" s="9" t="s">
        <v>80</v>
      </c>
      <c r="Q221" s="9" t="s">
        <v>167</v>
      </c>
      <c r="R221" s="9" t="s">
        <v>115</v>
      </c>
      <c r="S221" s="9" t="s">
        <v>88</v>
      </c>
      <c r="T221" s="9" t="s">
        <v>84</v>
      </c>
      <c r="U221" s="9" t="s">
        <v>2764</v>
      </c>
      <c r="V221" s="24" t="str">
        <f t="shared" si="13"/>
        <v>Infrastructure</v>
      </c>
      <c r="W221" s="10" t="s">
        <v>6</v>
      </c>
      <c r="X221" s="10" t="s">
        <v>86</v>
      </c>
      <c r="Y221" s="10"/>
      <c r="Z221" s="10"/>
      <c r="AA221" s="10"/>
      <c r="AB221" s="22"/>
      <c r="AC221" s="10"/>
      <c r="AD221" s="10"/>
      <c r="AE221" s="10"/>
      <c r="AF221" s="10"/>
      <c r="AG221" s="10"/>
      <c r="AH221" s="11"/>
    </row>
    <row r="222" spans="1:34" x14ac:dyDescent="0.2">
      <c r="A222" s="43" t="str">
        <f t="shared" si="16"/>
        <v>QF01012-NES-C04518-SDW-CIV-08-Z00000-3FL0686</v>
      </c>
      <c r="B222" s="8" t="s">
        <v>2718</v>
      </c>
      <c r="C222" s="64" t="s">
        <v>2719</v>
      </c>
      <c r="D222" s="8" t="s">
        <v>70</v>
      </c>
      <c r="E222" s="8" t="s">
        <v>71</v>
      </c>
      <c r="F222" s="9" t="s">
        <v>72</v>
      </c>
      <c r="G222" s="9" t="s">
        <v>144</v>
      </c>
      <c r="H222" s="25">
        <v>46372</v>
      </c>
      <c r="I222" s="25" t="s">
        <v>286</v>
      </c>
      <c r="J222" s="9"/>
      <c r="K222" s="9"/>
      <c r="L222" s="9" t="s">
        <v>76</v>
      </c>
      <c r="M222" s="9" t="s">
        <v>77</v>
      </c>
      <c r="N222" s="9" t="s">
        <v>78</v>
      </c>
      <c r="O222" s="9" t="s">
        <v>79</v>
      </c>
      <c r="P222" s="9" t="s">
        <v>80</v>
      </c>
      <c r="Q222" s="9" t="s">
        <v>170</v>
      </c>
      <c r="R222" s="9" t="s">
        <v>115</v>
      </c>
      <c r="S222" s="9" t="s">
        <v>88</v>
      </c>
      <c r="T222" s="9" t="s">
        <v>84</v>
      </c>
      <c r="U222" s="9" t="s">
        <v>2763</v>
      </c>
      <c r="V222" s="24" t="str">
        <f t="shared" si="13"/>
        <v>Infrastructure</v>
      </c>
      <c r="W222" s="10" t="s">
        <v>6</v>
      </c>
      <c r="X222" s="10" t="s">
        <v>86</v>
      </c>
      <c r="Y222" s="10"/>
      <c r="Z222" s="10"/>
      <c r="AA222" s="10"/>
      <c r="AB222" s="22"/>
      <c r="AC222" s="10"/>
      <c r="AD222" s="10"/>
      <c r="AE222" s="10"/>
      <c r="AF222" s="10"/>
      <c r="AG222" s="10"/>
      <c r="AH222" s="11"/>
    </row>
  </sheetData>
  <sheetProtection insertRows="0" deleteRows="0"/>
  <mergeCells count="13">
    <mergeCell ref="C3:C11"/>
    <mergeCell ref="S15:U15"/>
    <mergeCell ref="AC12:AH12"/>
    <mergeCell ref="L13:U14"/>
    <mergeCell ref="X13:AB13"/>
    <mergeCell ref="AD13:AH13"/>
    <mergeCell ref="X14:AB14"/>
    <mergeCell ref="AD14:AH14"/>
    <mergeCell ref="X15:Y15"/>
    <mergeCell ref="AD15:AE15"/>
    <mergeCell ref="L12:U12"/>
    <mergeCell ref="W12:AB12"/>
    <mergeCell ref="V12:V15"/>
  </mergeCells>
  <phoneticPr fontId="8" type="noConversion"/>
  <conditionalFormatting sqref="A1:A1048576">
    <cfRule type="duplicateValues" dxfId="4" priority="1"/>
  </conditionalFormatting>
  <conditionalFormatting sqref="A70:A94">
    <cfRule type="duplicateValues" dxfId="3" priority="2"/>
  </conditionalFormatting>
  <conditionalFormatting sqref="A177:A216 A17:A69 A95:A159">
    <cfRule type="duplicateValues" dxfId="2" priority="59"/>
  </conditionalFormatting>
  <conditionalFormatting sqref="C3:E3">
    <cfRule type="duplicateValues" dxfId="1" priority="3"/>
  </conditionalFormatting>
  <dataValidations count="1">
    <dataValidation type="list" allowBlank="1" showInputMessage="1" showErrorMessage="1" sqref="AD17:AE166 AD177:AE222 X17:Y166 Y177:Y222 X177:X222" xr:uid="{1240AE85-E94A-422A-977A-737F493EA528}">
      <formula1>"LOD200,LOD300,LOD350,LOD400,LOD500"</formula1>
    </dataValidation>
  </dataValidations>
  <printOptions horizontalCentered="1"/>
  <pageMargins left="0.7" right="0.7" top="0.75" bottom="0.75" header="0.3" footer="0.3"/>
  <pageSetup paperSize="9" orientation="portrait" r:id="rId1"/>
  <headerFooter>
    <oddFooter>&amp;L&amp;"Calibri"&amp;12&amp;K0084FF Classification | Internal</oddFooter>
  </headerFooter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7">
        <x14:dataValidation type="list" allowBlank="1" showInputMessage="1" showErrorMessage="1" xr:uid="{62EC4397-2F7C-4057-A6A1-B3B149D6C303}">
          <x14:formula1>
            <xm:f>Picklists!$AB$6:$AB$103</xm:f>
          </x14:formula1>
          <xm:sqref>B6</xm:sqref>
        </x14:dataValidation>
        <x14:dataValidation type="list" allowBlank="1" showInputMessage="1" showErrorMessage="1" xr:uid="{03485482-AFD9-4839-8333-2E2963B2EE6B}">
          <x14:formula1>
            <xm:f>Picklists!$U$6:$U$103</xm:f>
          </x14:formula1>
          <xm:sqref>F17:F69 F95:F163</xm:sqref>
        </x14:dataValidation>
        <x14:dataValidation type="list" allowBlank="1" showInputMessage="1" showErrorMessage="1" xr:uid="{7E552650-F8C3-498E-8D37-AB74D43FCD10}">
          <x14:formula1>
            <xm:f>Picklists!$Y$6:$Y$103</xm:f>
          </x14:formula1>
          <xm:sqref>G17:G69 G95:G163</xm:sqref>
        </x14:dataValidation>
        <x14:dataValidation type="list" allowBlank="1" showInputMessage="1" showErrorMessage="1" xr:uid="{E00FB3FA-9248-401F-A554-C114A8EF4199}">
          <x14:formula1>
            <xm:f>Picklists!$A$6:$A$103</xm:f>
          </x14:formula1>
          <xm:sqref>L17:L69 L177:L220 L95:L163</xm:sqref>
        </x14:dataValidation>
        <x14:dataValidation type="list" allowBlank="1" showInputMessage="1" showErrorMessage="1" xr:uid="{E41F92F7-7D92-4371-8B43-414D2A2EA665}">
          <x14:formula1>
            <xm:f>Picklists!$C$6:$C$103</xm:f>
          </x14:formula1>
          <xm:sqref>M17:M69 M95:M163 M177:M222</xm:sqref>
        </x14:dataValidation>
        <x14:dataValidation type="list" allowBlank="1" showInputMessage="1" showErrorMessage="1" xr:uid="{BD77A5F2-D90A-4201-B9C7-4CF574884E9B}">
          <x14:formula1>
            <xm:f>Picklists!$E$6:$E$103</xm:f>
          </x14:formula1>
          <xm:sqref>N17:N69 N95:N163 N177:N222</xm:sqref>
        </x14:dataValidation>
        <x14:dataValidation type="list" allowBlank="1" showInputMessage="1" showErrorMessage="1" xr:uid="{9985EE2A-752A-41EF-A9DD-AA2CBF72AC7F}">
          <x14:formula1>
            <xm:f>Picklists!$G$6:$G$103</xm:f>
          </x14:formula1>
          <xm:sqref>O17:O69 O95:O163 O177:O222</xm:sqref>
        </x14:dataValidation>
        <x14:dataValidation type="list" allowBlank="1" showInputMessage="1" showErrorMessage="1" xr:uid="{35FD143D-54FF-45D0-8433-207EB3C75BE3}">
          <x14:formula1>
            <xm:f>Picklists!$I$6:$I$103</xm:f>
          </x14:formula1>
          <xm:sqref>P17:P69 P95:P163 P177:P222</xm:sqref>
        </x14:dataValidation>
        <x14:dataValidation type="list" allowBlank="1" showInputMessage="1" showErrorMessage="1" xr:uid="{04D55A3A-5F75-4AA1-8275-CEEF566B77E8}">
          <x14:formula1>
            <xm:f>Picklists!$K$6:$K$103</xm:f>
          </x14:formula1>
          <xm:sqref>Q17:Q69 Q177:Q220 Q95:Q163</xm:sqref>
        </x14:dataValidation>
        <x14:dataValidation type="list" allowBlank="1" showInputMessage="1" showErrorMessage="1" xr:uid="{9BE61160-FF6F-4869-9E27-43C5D9F21434}">
          <x14:formula1>
            <xm:f>Picklists!$M$6:$M$103</xm:f>
          </x14:formula1>
          <xm:sqref>R17:R69 R95:R166 R177:R222</xm:sqref>
        </x14:dataValidation>
        <x14:dataValidation type="list" allowBlank="1" showInputMessage="1" showErrorMessage="1" xr:uid="{07F0AFD2-F3C2-48B2-9961-A5AAF596C4DD}">
          <x14:formula1>
            <xm:f>Picklists!$O$6:$O$103</xm:f>
          </x14:formula1>
          <xm:sqref>S17:S69 S95:S166 S177:S222</xm:sqref>
        </x14:dataValidation>
        <x14:dataValidation type="list" allowBlank="1" showInputMessage="1" showErrorMessage="1" xr:uid="{1652F065-D7D4-41F7-8478-3E40C313263E}">
          <x14:formula1>
            <xm:f>Picklists!$Q$6:$Q$103</xm:f>
          </x14:formula1>
          <xm:sqref>T17:T69 T95:T166 T177:T222</xm:sqref>
        </x14:dataValidation>
        <x14:dataValidation type="list" allowBlank="1" showInputMessage="1" showErrorMessage="1" xr:uid="{437BB8CC-D584-4A60-B6FE-61697E7E8E33}">
          <x14:formula1>
            <xm:f>Picklists!$AC$6:$AC$103</xm:f>
          </x14:formula1>
          <xm:sqref>W17:W69 AC177:AC220 AC17:AC69 W95:W163 AC95:AC163 W177:W222</xm:sqref>
        </x14:dataValidation>
        <x14:dataValidation type="list" allowBlank="1" showInputMessage="1" showErrorMessage="1" xr:uid="{2C74457F-08E6-49B0-AE57-9A68576C5D18}">
          <x14:formula1>
            <xm:f>Picklists!$Z$6:$Z$103</xm:f>
          </x14:formula1>
          <xm:sqref>K17:K69 K177:K220 K95:K163</xm:sqref>
        </x14:dataValidation>
        <x14:dataValidation type="list" allowBlank="1" showInputMessage="1" showErrorMessage="1" xr:uid="{E8E9DA01-8A95-49D1-9D58-DBF994364091}">
          <x14:formula1>
            <xm:f>Picklists!$V$6:$V$103</xm:f>
          </x14:formula1>
          <xm:sqref>D17:D69 D95:D163</xm:sqref>
        </x14:dataValidation>
        <x14:dataValidation type="list" allowBlank="1" showInputMessage="1" showErrorMessage="1" xr:uid="{C05D0552-C028-4F34-A099-C375D4B254F5}">
          <x14:formula1>
            <xm:f>Picklists!$T$6:$T$103</xm:f>
          </x14:formula1>
          <xm:sqref>E17:E69 E95:E163</xm:sqref>
        </x14:dataValidation>
        <x14:dataValidation type="list" allowBlank="1" showInputMessage="1" showErrorMessage="1" xr:uid="{82D816E7-41DF-4578-B44C-C9C45C3D7F83}">
          <x14:formula1>
            <xm:f>Baseline!$J$3:$J$685</xm:f>
          </x14:formula1>
          <xm:sqref>J17:J69 J177:J220 J95:J163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88233-47D7-4F27-84E7-59B0D0DFA079}">
  <sheetPr>
    <tabColor rgb="FF004D86"/>
    <outlinePr summaryRight="0"/>
  </sheetPr>
  <dimension ref="A2:N685"/>
  <sheetViews>
    <sheetView showGridLines="0" zoomScale="85" zoomScaleNormal="85" workbookViewId="0"/>
  </sheetViews>
  <sheetFormatPr defaultRowHeight="15" outlineLevelCol="1" x14ac:dyDescent="0.25"/>
  <cols>
    <col min="1" max="1" width="9.140625" collapsed="1"/>
    <col min="2" max="6" width="14" hidden="1" customWidth="1" outlineLevel="1"/>
    <col min="7" max="7" width="13.85546875" hidden="1" customWidth="1" outlineLevel="1"/>
    <col min="8" max="8" width="11.140625" hidden="1" customWidth="1" outlineLevel="1"/>
    <col min="9" max="9" width="115.140625" customWidth="1"/>
    <col min="10" max="10" width="22" bestFit="1" customWidth="1"/>
    <col min="11" max="14" width="14.7109375" customWidth="1"/>
    <col min="15" max="15" width="14" customWidth="1"/>
    <col min="16" max="16" width="12.28515625" bestFit="1" customWidth="1"/>
    <col min="17" max="17" width="15" customWidth="1"/>
    <col min="18" max="18" width="15.5703125" customWidth="1"/>
    <col min="19" max="23" width="14" customWidth="1"/>
    <col min="24" max="24" width="26.5703125" customWidth="1"/>
    <col min="25" max="25" width="21.28515625" bestFit="1" customWidth="1"/>
    <col min="26" max="26" width="90.5703125" bestFit="1" customWidth="1"/>
    <col min="27" max="27" width="11.28515625" customWidth="1"/>
    <col min="28" max="28" width="13" customWidth="1"/>
    <col min="29" max="29" width="12.42578125" customWidth="1"/>
    <col min="30" max="30" width="81.140625" bestFit="1" customWidth="1"/>
    <col min="31" max="31" width="17.140625" bestFit="1" customWidth="1"/>
  </cols>
  <sheetData>
    <row r="2" spans="2:14" ht="30" x14ac:dyDescent="0.25">
      <c r="B2" s="50" t="s">
        <v>372</v>
      </c>
      <c r="C2" s="51" t="s">
        <v>83</v>
      </c>
      <c r="D2" s="51" t="s">
        <v>88</v>
      </c>
      <c r="E2" s="51" t="s">
        <v>373</v>
      </c>
      <c r="F2" s="51" t="s">
        <v>116</v>
      </c>
      <c r="G2" s="51" t="s">
        <v>374</v>
      </c>
      <c r="H2" s="51" t="s">
        <v>127</v>
      </c>
      <c r="I2" s="20" t="s">
        <v>375</v>
      </c>
      <c r="J2" s="20" t="s">
        <v>376</v>
      </c>
      <c r="K2" s="20" t="s">
        <v>377</v>
      </c>
      <c r="L2" s="20" t="s">
        <v>378</v>
      </c>
      <c r="M2" s="20" t="s">
        <v>379</v>
      </c>
      <c r="N2" s="21" t="s">
        <v>380</v>
      </c>
    </row>
    <row r="3" spans="2:14" x14ac:dyDescent="0.25">
      <c r="B3" s="80" t="s">
        <v>381</v>
      </c>
      <c r="C3" s="83" t="s">
        <v>382</v>
      </c>
      <c r="D3" s="83" t="s">
        <v>382</v>
      </c>
      <c r="E3" s="83" t="s">
        <v>382</v>
      </c>
      <c r="F3" s="83" t="s">
        <v>382</v>
      </c>
      <c r="G3" s="86" t="s">
        <v>382</v>
      </c>
      <c r="H3" s="86" t="s">
        <v>382</v>
      </c>
      <c r="I3" s="83" t="s">
        <v>383</v>
      </c>
      <c r="J3" s="83" t="s">
        <v>384</v>
      </c>
      <c r="K3" s="83" t="s">
        <v>385</v>
      </c>
      <c r="L3" s="89" t="s">
        <v>314</v>
      </c>
      <c r="M3" s="91">
        <v>45932</v>
      </c>
      <c r="N3" s="92">
        <v>45960</v>
      </c>
    </row>
    <row r="4" spans="2:14" x14ac:dyDescent="0.25">
      <c r="B4" s="79" t="s">
        <v>381</v>
      </c>
      <c r="C4" s="82" t="s">
        <v>382</v>
      </c>
      <c r="D4" s="82" t="s">
        <v>386</v>
      </c>
      <c r="E4" s="82" t="s">
        <v>386</v>
      </c>
      <c r="F4" s="82" t="s">
        <v>386</v>
      </c>
      <c r="G4" s="85" t="s">
        <v>386</v>
      </c>
      <c r="H4" s="85" t="s">
        <v>386</v>
      </c>
      <c r="I4" s="82" t="s">
        <v>387</v>
      </c>
      <c r="J4" s="82" t="s">
        <v>388</v>
      </c>
      <c r="K4" s="82" t="s">
        <v>385</v>
      </c>
      <c r="L4" s="88" t="s">
        <v>314</v>
      </c>
      <c r="M4" s="54">
        <v>45932</v>
      </c>
      <c r="N4" s="55">
        <v>45960</v>
      </c>
    </row>
    <row r="5" spans="2:14" x14ac:dyDescent="0.25">
      <c r="B5" s="79" t="s">
        <v>381</v>
      </c>
      <c r="C5" s="82" t="s">
        <v>382</v>
      </c>
      <c r="D5" s="82" t="s">
        <v>389</v>
      </c>
      <c r="E5" s="82" t="s">
        <v>390</v>
      </c>
      <c r="F5" s="82" t="s">
        <v>390</v>
      </c>
      <c r="G5" s="85" t="s">
        <v>390</v>
      </c>
      <c r="H5" s="85" t="s">
        <v>390</v>
      </c>
      <c r="I5" s="82" t="s">
        <v>391</v>
      </c>
      <c r="J5" s="82" t="s">
        <v>392</v>
      </c>
      <c r="K5" s="82" t="s">
        <v>385</v>
      </c>
      <c r="L5" s="88" t="s">
        <v>310</v>
      </c>
      <c r="M5" s="54">
        <v>46039</v>
      </c>
      <c r="N5" s="55">
        <v>46062</v>
      </c>
    </row>
    <row r="6" spans="2:14" x14ac:dyDescent="0.25">
      <c r="B6" s="79" t="s">
        <v>381</v>
      </c>
      <c r="C6" s="82" t="s">
        <v>382</v>
      </c>
      <c r="D6" s="82" t="s">
        <v>389</v>
      </c>
      <c r="E6" s="82" t="s">
        <v>393</v>
      </c>
      <c r="F6" s="82" t="s">
        <v>393</v>
      </c>
      <c r="G6" s="85" t="s">
        <v>393</v>
      </c>
      <c r="H6" s="85" t="s">
        <v>393</v>
      </c>
      <c r="I6" s="82" t="s">
        <v>394</v>
      </c>
      <c r="J6" s="82" t="s">
        <v>395</v>
      </c>
      <c r="K6" s="82" t="s">
        <v>385</v>
      </c>
      <c r="L6" s="88" t="s">
        <v>182</v>
      </c>
      <c r="M6" s="54">
        <v>46263</v>
      </c>
      <c r="N6" s="55">
        <v>46275</v>
      </c>
    </row>
    <row r="7" spans="2:14" x14ac:dyDescent="0.25">
      <c r="B7" s="79" t="s">
        <v>381</v>
      </c>
      <c r="C7" s="82" t="s">
        <v>382</v>
      </c>
      <c r="D7" s="82" t="s">
        <v>389</v>
      </c>
      <c r="E7" s="82" t="s">
        <v>396</v>
      </c>
      <c r="F7" s="82" t="s">
        <v>396</v>
      </c>
      <c r="G7" s="85" t="s">
        <v>396</v>
      </c>
      <c r="H7" s="85" t="s">
        <v>396</v>
      </c>
      <c r="I7" s="82" t="s">
        <v>397</v>
      </c>
      <c r="J7" s="82" t="s">
        <v>398</v>
      </c>
      <c r="K7" s="82" t="s">
        <v>385</v>
      </c>
      <c r="L7" s="88" t="s">
        <v>182</v>
      </c>
      <c r="M7" s="54">
        <v>46296</v>
      </c>
      <c r="N7" s="55">
        <v>46309</v>
      </c>
    </row>
    <row r="8" spans="2:14" x14ac:dyDescent="0.25">
      <c r="B8" s="79" t="s">
        <v>381</v>
      </c>
      <c r="C8" s="82" t="s">
        <v>399</v>
      </c>
      <c r="D8" s="82" t="s">
        <v>400</v>
      </c>
      <c r="E8" s="82" t="s">
        <v>400</v>
      </c>
      <c r="F8" s="82" t="s">
        <v>400</v>
      </c>
      <c r="G8" s="85" t="s">
        <v>400</v>
      </c>
      <c r="H8" s="85" t="s">
        <v>401</v>
      </c>
      <c r="I8" s="82" t="s">
        <v>402</v>
      </c>
      <c r="J8" s="82" t="s">
        <v>140</v>
      </c>
      <c r="K8" s="82" t="s">
        <v>385</v>
      </c>
      <c r="L8" s="88" t="s">
        <v>317</v>
      </c>
      <c r="M8" s="54">
        <v>45941</v>
      </c>
      <c r="N8" s="55">
        <v>45972</v>
      </c>
    </row>
    <row r="9" spans="2:14" x14ac:dyDescent="0.25">
      <c r="B9" s="79" t="s">
        <v>381</v>
      </c>
      <c r="C9" s="82" t="s">
        <v>399</v>
      </c>
      <c r="D9" s="82" t="s">
        <v>400</v>
      </c>
      <c r="E9" s="82" t="s">
        <v>400</v>
      </c>
      <c r="F9" s="82" t="s">
        <v>400</v>
      </c>
      <c r="G9" s="85" t="s">
        <v>400</v>
      </c>
      <c r="H9" s="85" t="s">
        <v>403</v>
      </c>
      <c r="I9" s="82" t="s">
        <v>404</v>
      </c>
      <c r="J9" s="82" t="s">
        <v>158</v>
      </c>
      <c r="K9" s="82" t="s">
        <v>385</v>
      </c>
      <c r="L9" s="88" t="s">
        <v>214</v>
      </c>
      <c r="M9" s="54">
        <v>45973</v>
      </c>
      <c r="N9" s="55">
        <v>45988</v>
      </c>
    </row>
    <row r="10" spans="2:14" x14ac:dyDescent="0.25">
      <c r="B10" s="79" t="s">
        <v>381</v>
      </c>
      <c r="C10" s="82" t="s">
        <v>399</v>
      </c>
      <c r="D10" s="82" t="s">
        <v>405</v>
      </c>
      <c r="E10" s="82" t="s">
        <v>406</v>
      </c>
      <c r="F10" s="82" t="s">
        <v>406</v>
      </c>
      <c r="G10" s="85" t="s">
        <v>406</v>
      </c>
      <c r="H10" s="85" t="s">
        <v>406</v>
      </c>
      <c r="I10" s="82" t="s">
        <v>407</v>
      </c>
      <c r="J10" s="82" t="s">
        <v>75</v>
      </c>
      <c r="K10" s="82" t="s">
        <v>385</v>
      </c>
      <c r="L10" s="88" t="s">
        <v>317</v>
      </c>
      <c r="M10" s="54">
        <v>46074</v>
      </c>
      <c r="N10" s="55">
        <v>46109</v>
      </c>
    </row>
    <row r="11" spans="2:14" x14ac:dyDescent="0.25">
      <c r="B11" s="79" t="s">
        <v>381</v>
      </c>
      <c r="C11" s="82" t="s">
        <v>399</v>
      </c>
      <c r="D11" s="82" t="s">
        <v>405</v>
      </c>
      <c r="E11" s="82" t="s">
        <v>408</v>
      </c>
      <c r="F11" s="82" t="s">
        <v>408</v>
      </c>
      <c r="G11" s="85" t="s">
        <v>408</v>
      </c>
      <c r="H11" s="85" t="s">
        <v>408</v>
      </c>
      <c r="I11" s="82" t="s">
        <v>409</v>
      </c>
      <c r="J11" s="82" t="s">
        <v>410</v>
      </c>
      <c r="K11" s="82" t="s">
        <v>385</v>
      </c>
      <c r="L11" s="88" t="s">
        <v>317</v>
      </c>
      <c r="M11" s="54">
        <v>46041</v>
      </c>
      <c r="N11" s="55">
        <v>46072</v>
      </c>
    </row>
    <row r="12" spans="2:14" x14ac:dyDescent="0.25">
      <c r="B12" s="79" t="s">
        <v>381</v>
      </c>
      <c r="C12" s="82" t="s">
        <v>399</v>
      </c>
      <c r="D12" s="82" t="s">
        <v>405</v>
      </c>
      <c r="E12" s="82" t="s">
        <v>411</v>
      </c>
      <c r="F12" s="82" t="s">
        <v>411</v>
      </c>
      <c r="G12" s="85" t="s">
        <v>411</v>
      </c>
      <c r="H12" s="85" t="s">
        <v>411</v>
      </c>
      <c r="I12" s="82" t="s">
        <v>412</v>
      </c>
      <c r="J12" s="82" t="s">
        <v>105</v>
      </c>
      <c r="K12" s="82" t="s">
        <v>385</v>
      </c>
      <c r="L12" s="88" t="s">
        <v>317</v>
      </c>
      <c r="M12" s="54">
        <v>46008</v>
      </c>
      <c r="N12" s="55">
        <v>46040</v>
      </c>
    </row>
    <row r="13" spans="2:14" x14ac:dyDescent="0.25">
      <c r="B13" s="79" t="s">
        <v>381</v>
      </c>
      <c r="C13" s="82" t="s">
        <v>399</v>
      </c>
      <c r="D13" s="82" t="s">
        <v>405</v>
      </c>
      <c r="E13" s="82" t="s">
        <v>413</v>
      </c>
      <c r="F13" s="82" t="s">
        <v>413</v>
      </c>
      <c r="G13" s="85" t="s">
        <v>413</v>
      </c>
      <c r="H13" s="85" t="s">
        <v>413</v>
      </c>
      <c r="I13" s="82" t="s">
        <v>414</v>
      </c>
      <c r="J13" s="82" t="s">
        <v>111</v>
      </c>
      <c r="K13" s="82" t="s">
        <v>385</v>
      </c>
      <c r="L13" s="88" t="s">
        <v>317</v>
      </c>
      <c r="M13" s="54">
        <v>45994</v>
      </c>
      <c r="N13" s="55">
        <v>46026</v>
      </c>
    </row>
    <row r="14" spans="2:14" x14ac:dyDescent="0.25">
      <c r="B14" s="79" t="s">
        <v>381</v>
      </c>
      <c r="C14" s="82" t="s">
        <v>399</v>
      </c>
      <c r="D14" s="82" t="s">
        <v>405</v>
      </c>
      <c r="E14" s="82" t="s">
        <v>415</v>
      </c>
      <c r="F14" s="82" t="s">
        <v>415</v>
      </c>
      <c r="G14" s="85" t="s">
        <v>415</v>
      </c>
      <c r="H14" s="85" t="s">
        <v>415</v>
      </c>
      <c r="I14" s="82" t="s">
        <v>416</v>
      </c>
      <c r="J14" s="82" t="s">
        <v>132</v>
      </c>
      <c r="K14" s="82" t="s">
        <v>385</v>
      </c>
      <c r="L14" s="88" t="s">
        <v>317</v>
      </c>
      <c r="M14" s="54">
        <v>45973</v>
      </c>
      <c r="N14" s="55">
        <v>46005</v>
      </c>
    </row>
    <row r="15" spans="2:14" x14ac:dyDescent="0.25">
      <c r="B15" s="79" t="s">
        <v>381</v>
      </c>
      <c r="C15" s="82" t="s">
        <v>399</v>
      </c>
      <c r="D15" s="82" t="s">
        <v>417</v>
      </c>
      <c r="E15" s="82" t="s">
        <v>417</v>
      </c>
      <c r="F15" s="82" t="s">
        <v>417</v>
      </c>
      <c r="G15" s="85" t="s">
        <v>417</v>
      </c>
      <c r="H15" s="85" t="s">
        <v>417</v>
      </c>
      <c r="I15" s="82" t="s">
        <v>418</v>
      </c>
      <c r="J15" s="82" t="s">
        <v>257</v>
      </c>
      <c r="K15" s="82" t="s">
        <v>385</v>
      </c>
      <c r="L15" s="88" t="s">
        <v>317</v>
      </c>
      <c r="M15" s="54">
        <v>46347</v>
      </c>
      <c r="N15" s="55">
        <v>46378</v>
      </c>
    </row>
    <row r="16" spans="2:14" x14ac:dyDescent="0.25">
      <c r="B16" s="79" t="s">
        <v>381</v>
      </c>
      <c r="C16" s="82" t="s">
        <v>419</v>
      </c>
      <c r="D16" s="82" t="s">
        <v>420</v>
      </c>
      <c r="E16" s="82" t="s">
        <v>421</v>
      </c>
      <c r="F16" s="82" t="s">
        <v>421</v>
      </c>
      <c r="G16" s="85" t="s">
        <v>421</v>
      </c>
      <c r="H16" s="85" t="s">
        <v>421</v>
      </c>
      <c r="I16" s="82" t="s">
        <v>422</v>
      </c>
      <c r="J16" s="82" t="s">
        <v>423</v>
      </c>
      <c r="K16" s="82" t="s">
        <v>385</v>
      </c>
      <c r="L16" s="88" t="s">
        <v>317</v>
      </c>
      <c r="M16" s="54">
        <v>45973</v>
      </c>
      <c r="N16" s="55">
        <v>46005</v>
      </c>
    </row>
    <row r="17" spans="2:14" x14ac:dyDescent="0.25">
      <c r="B17" s="79" t="s">
        <v>381</v>
      </c>
      <c r="C17" s="82" t="s">
        <v>419</v>
      </c>
      <c r="D17" s="82" t="s">
        <v>420</v>
      </c>
      <c r="E17" s="82" t="s">
        <v>424</v>
      </c>
      <c r="F17" s="82" t="s">
        <v>424</v>
      </c>
      <c r="G17" s="85" t="s">
        <v>424</v>
      </c>
      <c r="H17" s="85" t="s">
        <v>424</v>
      </c>
      <c r="I17" s="82" t="s">
        <v>425</v>
      </c>
      <c r="J17" s="82" t="s">
        <v>426</v>
      </c>
      <c r="K17" s="82" t="s">
        <v>385</v>
      </c>
      <c r="L17" s="88" t="s">
        <v>317</v>
      </c>
      <c r="M17" s="54">
        <v>46039</v>
      </c>
      <c r="N17" s="55">
        <v>46070</v>
      </c>
    </row>
    <row r="18" spans="2:14" x14ac:dyDescent="0.25">
      <c r="B18" s="79" t="s">
        <v>381</v>
      </c>
      <c r="C18" s="82" t="s">
        <v>419</v>
      </c>
      <c r="D18" s="82" t="s">
        <v>420</v>
      </c>
      <c r="E18" s="82" t="s">
        <v>427</v>
      </c>
      <c r="F18" s="82" t="s">
        <v>427</v>
      </c>
      <c r="G18" s="85" t="s">
        <v>427</v>
      </c>
      <c r="H18" s="85" t="s">
        <v>427</v>
      </c>
      <c r="I18" s="82" t="s">
        <v>428</v>
      </c>
      <c r="J18" s="82" t="s">
        <v>429</v>
      </c>
      <c r="K18" s="82" t="s">
        <v>385</v>
      </c>
      <c r="L18" s="88" t="s">
        <v>214</v>
      </c>
      <c r="M18" s="54">
        <v>46097</v>
      </c>
      <c r="N18" s="55">
        <v>46114</v>
      </c>
    </row>
    <row r="19" spans="2:14" x14ac:dyDescent="0.25">
      <c r="B19" s="79" t="s">
        <v>381</v>
      </c>
      <c r="C19" s="82" t="s">
        <v>419</v>
      </c>
      <c r="D19" s="82" t="s">
        <v>420</v>
      </c>
      <c r="E19" s="82" t="s">
        <v>430</v>
      </c>
      <c r="F19" s="82" t="s">
        <v>430</v>
      </c>
      <c r="G19" s="85" t="s">
        <v>430</v>
      </c>
      <c r="H19" s="85" t="s">
        <v>430</v>
      </c>
      <c r="I19" s="82" t="s">
        <v>431</v>
      </c>
      <c r="J19" s="82" t="s">
        <v>432</v>
      </c>
      <c r="K19" s="82" t="s">
        <v>385</v>
      </c>
      <c r="L19" s="88" t="s">
        <v>317</v>
      </c>
      <c r="M19" s="54">
        <v>46006</v>
      </c>
      <c r="N19" s="55">
        <v>46037</v>
      </c>
    </row>
    <row r="20" spans="2:14" x14ac:dyDescent="0.25">
      <c r="B20" s="79" t="s">
        <v>381</v>
      </c>
      <c r="C20" s="82" t="s">
        <v>419</v>
      </c>
      <c r="D20" s="82" t="s">
        <v>420</v>
      </c>
      <c r="E20" s="82" t="s">
        <v>433</v>
      </c>
      <c r="F20" s="82" t="s">
        <v>433</v>
      </c>
      <c r="G20" s="85" t="s">
        <v>433</v>
      </c>
      <c r="H20" s="85" t="s">
        <v>433</v>
      </c>
      <c r="I20" s="82" t="s">
        <v>434</v>
      </c>
      <c r="J20" s="82" t="s">
        <v>435</v>
      </c>
      <c r="K20" s="82" t="s">
        <v>385</v>
      </c>
      <c r="L20" s="88" t="s">
        <v>310</v>
      </c>
      <c r="M20" s="54">
        <v>46071</v>
      </c>
      <c r="N20" s="55">
        <v>46096</v>
      </c>
    </row>
    <row r="21" spans="2:14" x14ac:dyDescent="0.25">
      <c r="B21" s="79" t="s">
        <v>381</v>
      </c>
      <c r="C21" s="82" t="s">
        <v>419</v>
      </c>
      <c r="D21" s="82" t="s">
        <v>420</v>
      </c>
      <c r="E21" s="82" t="s">
        <v>436</v>
      </c>
      <c r="F21" s="82" t="s">
        <v>436</v>
      </c>
      <c r="G21" s="85" t="s">
        <v>436</v>
      </c>
      <c r="H21" s="85" t="s">
        <v>436</v>
      </c>
      <c r="I21" s="82" t="s">
        <v>437</v>
      </c>
      <c r="J21" s="82" t="s">
        <v>438</v>
      </c>
      <c r="K21" s="82" t="s">
        <v>385</v>
      </c>
      <c r="L21" s="88" t="s">
        <v>317</v>
      </c>
      <c r="M21" s="54">
        <v>46097</v>
      </c>
      <c r="N21" s="55">
        <v>46131</v>
      </c>
    </row>
    <row r="22" spans="2:14" x14ac:dyDescent="0.25">
      <c r="B22" s="79" t="s">
        <v>381</v>
      </c>
      <c r="C22" s="82" t="s">
        <v>419</v>
      </c>
      <c r="D22" s="82" t="s">
        <v>420</v>
      </c>
      <c r="E22" s="82" t="s">
        <v>439</v>
      </c>
      <c r="F22" s="82" t="s">
        <v>439</v>
      </c>
      <c r="G22" s="85" t="s">
        <v>439</v>
      </c>
      <c r="H22" s="85" t="s">
        <v>439</v>
      </c>
      <c r="I22" s="82" t="s">
        <v>440</v>
      </c>
      <c r="J22" s="82" t="s">
        <v>441</v>
      </c>
      <c r="K22" s="82" t="s">
        <v>385</v>
      </c>
      <c r="L22" s="88" t="s">
        <v>314</v>
      </c>
      <c r="M22" s="54">
        <v>46132</v>
      </c>
      <c r="N22" s="55">
        <v>46160</v>
      </c>
    </row>
    <row r="23" spans="2:14" x14ac:dyDescent="0.25">
      <c r="B23" s="79" t="s">
        <v>381</v>
      </c>
      <c r="C23" s="82" t="s">
        <v>419</v>
      </c>
      <c r="D23" s="82" t="s">
        <v>420</v>
      </c>
      <c r="E23" s="82" t="s">
        <v>442</v>
      </c>
      <c r="F23" s="82" t="s">
        <v>442</v>
      </c>
      <c r="G23" s="85" t="s">
        <v>442</v>
      </c>
      <c r="H23" s="85" t="s">
        <v>442</v>
      </c>
      <c r="I23" s="82" t="s">
        <v>443</v>
      </c>
      <c r="J23" s="82" t="s">
        <v>444</v>
      </c>
      <c r="K23" s="82" t="s">
        <v>385</v>
      </c>
      <c r="L23" s="88" t="s">
        <v>217</v>
      </c>
      <c r="M23" s="54">
        <v>46161</v>
      </c>
      <c r="N23" s="55">
        <v>46181</v>
      </c>
    </row>
    <row r="24" spans="2:14" x14ac:dyDescent="0.25">
      <c r="B24" s="79" t="s">
        <v>381</v>
      </c>
      <c r="C24" s="82" t="s">
        <v>419</v>
      </c>
      <c r="D24" s="82" t="s">
        <v>420</v>
      </c>
      <c r="E24" s="82" t="s">
        <v>445</v>
      </c>
      <c r="F24" s="82" t="s">
        <v>445</v>
      </c>
      <c r="G24" s="85" t="s">
        <v>445</v>
      </c>
      <c r="H24" s="85" t="s">
        <v>446</v>
      </c>
      <c r="I24" s="82" t="s">
        <v>447</v>
      </c>
      <c r="J24" s="82" t="s">
        <v>448</v>
      </c>
      <c r="K24" s="82" t="s">
        <v>385</v>
      </c>
      <c r="L24" s="88" t="s">
        <v>314</v>
      </c>
      <c r="M24" s="54">
        <v>46182</v>
      </c>
      <c r="N24" s="55">
        <v>46210</v>
      </c>
    </row>
    <row r="25" spans="2:14" x14ac:dyDescent="0.25">
      <c r="B25" s="79" t="s">
        <v>381</v>
      </c>
      <c r="C25" s="82" t="s">
        <v>419</v>
      </c>
      <c r="D25" s="82" t="s">
        <v>420</v>
      </c>
      <c r="E25" s="82" t="s">
        <v>445</v>
      </c>
      <c r="F25" s="82" t="s">
        <v>445</v>
      </c>
      <c r="G25" s="85" t="s">
        <v>445</v>
      </c>
      <c r="H25" s="85" t="s">
        <v>449</v>
      </c>
      <c r="I25" s="82" t="s">
        <v>450</v>
      </c>
      <c r="J25" s="82" t="s">
        <v>451</v>
      </c>
      <c r="K25" s="82" t="s">
        <v>385</v>
      </c>
      <c r="L25" s="88" t="s">
        <v>314</v>
      </c>
      <c r="M25" s="54">
        <v>46182</v>
      </c>
      <c r="N25" s="55">
        <v>46210</v>
      </c>
    </row>
    <row r="26" spans="2:14" x14ac:dyDescent="0.25">
      <c r="B26" s="79" t="s">
        <v>381</v>
      </c>
      <c r="C26" s="82" t="s">
        <v>419</v>
      </c>
      <c r="D26" s="82" t="s">
        <v>420</v>
      </c>
      <c r="E26" s="82" t="s">
        <v>452</v>
      </c>
      <c r="F26" s="82" t="s">
        <v>452</v>
      </c>
      <c r="G26" s="85" t="s">
        <v>452</v>
      </c>
      <c r="H26" s="85" t="s">
        <v>453</v>
      </c>
      <c r="I26" s="82" t="s">
        <v>454</v>
      </c>
      <c r="J26" s="82" t="s">
        <v>455</v>
      </c>
      <c r="K26" s="82" t="s">
        <v>385</v>
      </c>
      <c r="L26" s="88" t="s">
        <v>314</v>
      </c>
      <c r="M26" s="54">
        <v>46211</v>
      </c>
      <c r="N26" s="55">
        <v>46239</v>
      </c>
    </row>
    <row r="27" spans="2:14" x14ac:dyDescent="0.25">
      <c r="B27" s="79" t="s">
        <v>381</v>
      </c>
      <c r="C27" s="82" t="s">
        <v>419</v>
      </c>
      <c r="D27" s="82" t="s">
        <v>420</v>
      </c>
      <c r="E27" s="82" t="s">
        <v>452</v>
      </c>
      <c r="F27" s="82" t="s">
        <v>452</v>
      </c>
      <c r="G27" s="85" t="s">
        <v>452</v>
      </c>
      <c r="H27" s="85" t="s">
        <v>456</v>
      </c>
      <c r="I27" s="82" t="s">
        <v>457</v>
      </c>
      <c r="J27" s="82" t="s">
        <v>458</v>
      </c>
      <c r="K27" s="82" t="s">
        <v>385</v>
      </c>
      <c r="L27" s="88" t="s">
        <v>314</v>
      </c>
      <c r="M27" s="54">
        <v>46211</v>
      </c>
      <c r="N27" s="55">
        <v>46239</v>
      </c>
    </row>
    <row r="28" spans="2:14" x14ac:dyDescent="0.25">
      <c r="B28" s="79" t="s">
        <v>381</v>
      </c>
      <c r="C28" s="82" t="s">
        <v>419</v>
      </c>
      <c r="D28" s="82" t="s">
        <v>420</v>
      </c>
      <c r="E28" s="82" t="s">
        <v>459</v>
      </c>
      <c r="F28" s="82" t="s">
        <v>459</v>
      </c>
      <c r="G28" s="85" t="s">
        <v>459</v>
      </c>
      <c r="H28" s="85" t="s">
        <v>460</v>
      </c>
      <c r="I28" s="82" t="s">
        <v>461</v>
      </c>
      <c r="J28" s="82" t="s">
        <v>462</v>
      </c>
      <c r="K28" s="82" t="s">
        <v>385</v>
      </c>
      <c r="L28" s="88" t="s">
        <v>314</v>
      </c>
      <c r="M28" s="54">
        <v>46240</v>
      </c>
      <c r="N28" s="55">
        <v>46268</v>
      </c>
    </row>
    <row r="29" spans="2:14" x14ac:dyDescent="0.25">
      <c r="B29" s="79" t="s">
        <v>381</v>
      </c>
      <c r="C29" s="82" t="s">
        <v>419</v>
      </c>
      <c r="D29" s="82" t="s">
        <v>420</v>
      </c>
      <c r="E29" s="82" t="s">
        <v>459</v>
      </c>
      <c r="F29" s="82" t="s">
        <v>459</v>
      </c>
      <c r="G29" s="85" t="s">
        <v>459</v>
      </c>
      <c r="H29" s="85" t="s">
        <v>463</v>
      </c>
      <c r="I29" s="82" t="s">
        <v>464</v>
      </c>
      <c r="J29" s="82" t="s">
        <v>465</v>
      </c>
      <c r="K29" s="82" t="s">
        <v>385</v>
      </c>
      <c r="L29" s="88" t="s">
        <v>314</v>
      </c>
      <c r="M29" s="54">
        <v>46240</v>
      </c>
      <c r="N29" s="55">
        <v>46268</v>
      </c>
    </row>
    <row r="30" spans="2:14" x14ac:dyDescent="0.25">
      <c r="B30" s="79" t="s">
        <v>381</v>
      </c>
      <c r="C30" s="82" t="s">
        <v>419</v>
      </c>
      <c r="D30" s="82" t="s">
        <v>420</v>
      </c>
      <c r="E30" s="82" t="s">
        <v>466</v>
      </c>
      <c r="F30" s="82" t="s">
        <v>466</v>
      </c>
      <c r="G30" s="85" t="s">
        <v>466</v>
      </c>
      <c r="H30" s="85" t="s">
        <v>467</v>
      </c>
      <c r="I30" s="82" t="s">
        <v>468</v>
      </c>
      <c r="J30" s="82" t="s">
        <v>469</v>
      </c>
      <c r="K30" s="82" t="s">
        <v>385</v>
      </c>
      <c r="L30" s="88" t="s">
        <v>317</v>
      </c>
      <c r="M30" s="54">
        <v>46270</v>
      </c>
      <c r="N30" s="55">
        <v>46302</v>
      </c>
    </row>
    <row r="31" spans="2:14" x14ac:dyDescent="0.25">
      <c r="B31" s="79" t="s">
        <v>381</v>
      </c>
      <c r="C31" s="82" t="s">
        <v>419</v>
      </c>
      <c r="D31" s="82" t="s">
        <v>420</v>
      </c>
      <c r="E31" s="82" t="s">
        <v>466</v>
      </c>
      <c r="F31" s="82" t="s">
        <v>466</v>
      </c>
      <c r="G31" s="85" t="s">
        <v>466</v>
      </c>
      <c r="H31" s="85" t="s">
        <v>470</v>
      </c>
      <c r="I31" s="82" t="s">
        <v>471</v>
      </c>
      <c r="J31" s="82" t="s">
        <v>472</v>
      </c>
      <c r="K31" s="82" t="s">
        <v>385</v>
      </c>
      <c r="L31" s="88" t="s">
        <v>317</v>
      </c>
      <c r="M31" s="54">
        <v>46270</v>
      </c>
      <c r="N31" s="55">
        <v>46302</v>
      </c>
    </row>
    <row r="32" spans="2:14" x14ac:dyDescent="0.25">
      <c r="B32" s="79" t="s">
        <v>381</v>
      </c>
      <c r="C32" s="82" t="s">
        <v>419</v>
      </c>
      <c r="D32" s="82" t="s">
        <v>420</v>
      </c>
      <c r="E32" s="82" t="s">
        <v>473</v>
      </c>
      <c r="F32" s="82" t="s">
        <v>473</v>
      </c>
      <c r="G32" s="85" t="s">
        <v>473</v>
      </c>
      <c r="H32" s="85" t="s">
        <v>473</v>
      </c>
      <c r="I32" s="82" t="s">
        <v>474</v>
      </c>
      <c r="J32" s="82" t="s">
        <v>475</v>
      </c>
      <c r="K32" s="82" t="s">
        <v>385</v>
      </c>
      <c r="L32" s="88" t="s">
        <v>314</v>
      </c>
      <c r="M32" s="54">
        <v>46303</v>
      </c>
      <c r="N32" s="55">
        <v>46331</v>
      </c>
    </row>
    <row r="33" spans="2:14" x14ac:dyDescent="0.25">
      <c r="B33" s="79" t="s">
        <v>381</v>
      </c>
      <c r="C33" s="82" t="s">
        <v>419</v>
      </c>
      <c r="D33" s="82" t="s">
        <v>420</v>
      </c>
      <c r="E33" s="82" t="s">
        <v>476</v>
      </c>
      <c r="F33" s="82" t="s">
        <v>476</v>
      </c>
      <c r="G33" s="85" t="s">
        <v>476</v>
      </c>
      <c r="H33" s="85" t="s">
        <v>476</v>
      </c>
      <c r="I33" s="82" t="s">
        <v>477</v>
      </c>
      <c r="J33" s="82" t="s">
        <v>478</v>
      </c>
      <c r="K33" s="82" t="s">
        <v>385</v>
      </c>
      <c r="L33" s="88" t="s">
        <v>317</v>
      </c>
      <c r="M33" s="54">
        <v>46459</v>
      </c>
      <c r="N33" s="55">
        <v>46490</v>
      </c>
    </row>
    <row r="34" spans="2:14" x14ac:dyDescent="0.25">
      <c r="B34" s="79" t="s">
        <v>381</v>
      </c>
      <c r="C34" s="82" t="s">
        <v>419</v>
      </c>
      <c r="D34" s="82" t="s">
        <v>479</v>
      </c>
      <c r="E34" s="82" t="s">
        <v>479</v>
      </c>
      <c r="F34" s="82" t="s">
        <v>479</v>
      </c>
      <c r="G34" s="85" t="s">
        <v>479</v>
      </c>
      <c r="H34" s="85" t="s">
        <v>479</v>
      </c>
      <c r="I34" s="82" t="s">
        <v>480</v>
      </c>
      <c r="J34" s="82" t="s">
        <v>481</v>
      </c>
      <c r="K34" s="82" t="s">
        <v>385</v>
      </c>
      <c r="L34" s="88" t="s">
        <v>317</v>
      </c>
      <c r="M34" s="54">
        <v>46161</v>
      </c>
      <c r="N34" s="55">
        <v>46196</v>
      </c>
    </row>
    <row r="35" spans="2:14" x14ac:dyDescent="0.25">
      <c r="B35" s="79" t="s">
        <v>381</v>
      </c>
      <c r="C35" s="82" t="s">
        <v>419</v>
      </c>
      <c r="D35" s="82" t="s">
        <v>482</v>
      </c>
      <c r="E35" s="82" t="s">
        <v>482</v>
      </c>
      <c r="F35" s="82" t="s">
        <v>482</v>
      </c>
      <c r="G35" s="85" t="s">
        <v>482</v>
      </c>
      <c r="H35" s="85" t="s">
        <v>482</v>
      </c>
      <c r="I35" s="82" t="s">
        <v>483</v>
      </c>
      <c r="J35" s="82" t="s">
        <v>484</v>
      </c>
      <c r="K35" s="82" t="s">
        <v>385</v>
      </c>
      <c r="L35" s="88" t="s">
        <v>317</v>
      </c>
      <c r="M35" s="54">
        <v>46161</v>
      </c>
      <c r="N35" s="55">
        <v>46196</v>
      </c>
    </row>
    <row r="36" spans="2:14" x14ac:dyDescent="0.25">
      <c r="B36" s="79" t="s">
        <v>381</v>
      </c>
      <c r="C36" s="82" t="s">
        <v>419</v>
      </c>
      <c r="D36" s="82" t="s">
        <v>485</v>
      </c>
      <c r="E36" s="82" t="s">
        <v>485</v>
      </c>
      <c r="F36" s="82" t="s">
        <v>485</v>
      </c>
      <c r="G36" s="85" t="s">
        <v>485</v>
      </c>
      <c r="H36" s="85" t="s">
        <v>486</v>
      </c>
      <c r="I36" s="82" t="s">
        <v>487</v>
      </c>
      <c r="J36" s="82" t="s">
        <v>488</v>
      </c>
      <c r="K36" s="82" t="s">
        <v>385</v>
      </c>
      <c r="L36" s="88" t="s">
        <v>317</v>
      </c>
      <c r="M36" s="54">
        <v>46128</v>
      </c>
      <c r="N36" s="55">
        <v>46160</v>
      </c>
    </row>
    <row r="37" spans="2:14" x14ac:dyDescent="0.25">
      <c r="B37" s="79" t="s">
        <v>381</v>
      </c>
      <c r="C37" s="82" t="s">
        <v>419</v>
      </c>
      <c r="D37" s="82" t="s">
        <v>485</v>
      </c>
      <c r="E37" s="82" t="s">
        <v>485</v>
      </c>
      <c r="F37" s="82" t="s">
        <v>485</v>
      </c>
      <c r="G37" s="85" t="s">
        <v>485</v>
      </c>
      <c r="H37" s="85" t="s">
        <v>489</v>
      </c>
      <c r="I37" s="82" t="s">
        <v>490</v>
      </c>
      <c r="J37" s="82" t="s">
        <v>491</v>
      </c>
      <c r="K37" s="82" t="s">
        <v>385</v>
      </c>
      <c r="L37" s="88" t="s">
        <v>317</v>
      </c>
      <c r="M37" s="54">
        <v>46197</v>
      </c>
      <c r="N37" s="55">
        <v>46229</v>
      </c>
    </row>
    <row r="38" spans="2:14" x14ac:dyDescent="0.25">
      <c r="B38" s="79" t="s">
        <v>381</v>
      </c>
      <c r="C38" s="82" t="s">
        <v>419</v>
      </c>
      <c r="D38" s="82" t="s">
        <v>485</v>
      </c>
      <c r="E38" s="82" t="s">
        <v>485</v>
      </c>
      <c r="F38" s="82" t="s">
        <v>485</v>
      </c>
      <c r="G38" s="85" t="s">
        <v>485</v>
      </c>
      <c r="H38" s="85" t="s">
        <v>492</v>
      </c>
      <c r="I38" s="82" t="s">
        <v>493</v>
      </c>
      <c r="J38" s="82" t="s">
        <v>494</v>
      </c>
      <c r="K38" s="82" t="s">
        <v>385</v>
      </c>
      <c r="L38" s="88" t="s">
        <v>317</v>
      </c>
      <c r="M38" s="54">
        <v>46244</v>
      </c>
      <c r="N38" s="55">
        <v>46275</v>
      </c>
    </row>
    <row r="39" spans="2:14" x14ac:dyDescent="0.25">
      <c r="B39" s="79" t="s">
        <v>381</v>
      </c>
      <c r="C39" s="82" t="s">
        <v>419</v>
      </c>
      <c r="D39" s="82" t="s">
        <v>485</v>
      </c>
      <c r="E39" s="82" t="s">
        <v>485</v>
      </c>
      <c r="F39" s="82" t="s">
        <v>485</v>
      </c>
      <c r="G39" s="85" t="s">
        <v>485</v>
      </c>
      <c r="H39" s="85" t="s">
        <v>495</v>
      </c>
      <c r="I39" s="82" t="s">
        <v>496</v>
      </c>
      <c r="J39" s="82" t="s">
        <v>497</v>
      </c>
      <c r="K39" s="82" t="s">
        <v>385</v>
      </c>
      <c r="L39" s="88" t="s">
        <v>317</v>
      </c>
      <c r="M39" s="54">
        <v>46362</v>
      </c>
      <c r="N39" s="55">
        <v>46393</v>
      </c>
    </row>
    <row r="40" spans="2:14" x14ac:dyDescent="0.25">
      <c r="B40" s="79" t="s">
        <v>381</v>
      </c>
      <c r="C40" s="82" t="s">
        <v>419</v>
      </c>
      <c r="D40" s="82" t="s">
        <v>485</v>
      </c>
      <c r="E40" s="82" t="s">
        <v>485</v>
      </c>
      <c r="F40" s="82" t="s">
        <v>485</v>
      </c>
      <c r="G40" s="85" t="s">
        <v>485</v>
      </c>
      <c r="H40" s="85" t="s">
        <v>498</v>
      </c>
      <c r="I40" s="82" t="s">
        <v>499</v>
      </c>
      <c r="J40" s="82" t="s">
        <v>500</v>
      </c>
      <c r="K40" s="82" t="s">
        <v>385</v>
      </c>
      <c r="L40" s="88" t="s">
        <v>317</v>
      </c>
      <c r="M40" s="54">
        <v>46408</v>
      </c>
      <c r="N40" s="55">
        <v>46441</v>
      </c>
    </row>
    <row r="41" spans="2:14" x14ac:dyDescent="0.25">
      <c r="B41" s="79" t="s">
        <v>381</v>
      </c>
      <c r="C41" s="82" t="s">
        <v>419</v>
      </c>
      <c r="D41" s="82" t="s">
        <v>501</v>
      </c>
      <c r="E41" s="82" t="s">
        <v>406</v>
      </c>
      <c r="F41" s="82" t="s">
        <v>502</v>
      </c>
      <c r="G41" s="85" t="s">
        <v>502</v>
      </c>
      <c r="H41" s="85" t="s">
        <v>502</v>
      </c>
      <c r="I41" s="82" t="s">
        <v>503</v>
      </c>
      <c r="J41" s="82" t="s">
        <v>504</v>
      </c>
      <c r="K41" s="82" t="s">
        <v>385</v>
      </c>
      <c r="L41" s="88" t="s">
        <v>314</v>
      </c>
      <c r="M41" s="54">
        <v>46078</v>
      </c>
      <c r="N41" s="55">
        <v>46109</v>
      </c>
    </row>
    <row r="42" spans="2:14" x14ac:dyDescent="0.25">
      <c r="B42" s="79" t="s">
        <v>381</v>
      </c>
      <c r="C42" s="82" t="s">
        <v>419</v>
      </c>
      <c r="D42" s="82" t="s">
        <v>501</v>
      </c>
      <c r="E42" s="82" t="s">
        <v>406</v>
      </c>
      <c r="F42" s="82" t="s">
        <v>505</v>
      </c>
      <c r="G42" s="85" t="s">
        <v>505</v>
      </c>
      <c r="H42" s="85" t="s">
        <v>506</v>
      </c>
      <c r="I42" s="82" t="s">
        <v>507</v>
      </c>
      <c r="J42" s="82" t="s">
        <v>508</v>
      </c>
      <c r="K42" s="82" t="s">
        <v>385</v>
      </c>
      <c r="L42" s="88" t="s">
        <v>314</v>
      </c>
      <c r="M42" s="54">
        <v>46110</v>
      </c>
      <c r="N42" s="55">
        <v>46138</v>
      </c>
    </row>
    <row r="43" spans="2:14" x14ac:dyDescent="0.25">
      <c r="B43" s="79" t="s">
        <v>381</v>
      </c>
      <c r="C43" s="82" t="s">
        <v>419</v>
      </c>
      <c r="D43" s="82" t="s">
        <v>501</v>
      </c>
      <c r="E43" s="82" t="s">
        <v>406</v>
      </c>
      <c r="F43" s="82" t="s">
        <v>505</v>
      </c>
      <c r="G43" s="85" t="s">
        <v>505</v>
      </c>
      <c r="H43" s="85" t="s">
        <v>509</v>
      </c>
      <c r="I43" s="82" t="s">
        <v>510</v>
      </c>
      <c r="J43" s="82" t="s">
        <v>511</v>
      </c>
      <c r="K43" s="82" t="s">
        <v>385</v>
      </c>
      <c r="L43" s="88" t="s">
        <v>226</v>
      </c>
      <c r="M43" s="54">
        <v>46154</v>
      </c>
      <c r="N43" s="55">
        <v>46177</v>
      </c>
    </row>
    <row r="44" spans="2:14" x14ac:dyDescent="0.25">
      <c r="B44" s="79" t="s">
        <v>381</v>
      </c>
      <c r="C44" s="82" t="s">
        <v>419</v>
      </c>
      <c r="D44" s="82" t="s">
        <v>501</v>
      </c>
      <c r="E44" s="82" t="s">
        <v>406</v>
      </c>
      <c r="F44" s="82" t="s">
        <v>505</v>
      </c>
      <c r="G44" s="85" t="s">
        <v>505</v>
      </c>
      <c r="H44" s="85" t="s">
        <v>512</v>
      </c>
      <c r="I44" s="82" t="s">
        <v>513</v>
      </c>
      <c r="J44" s="82" t="s">
        <v>514</v>
      </c>
      <c r="K44" s="82" t="s">
        <v>385</v>
      </c>
      <c r="L44" s="88" t="s">
        <v>317</v>
      </c>
      <c r="M44" s="54">
        <v>46179</v>
      </c>
      <c r="N44" s="55">
        <v>46210</v>
      </c>
    </row>
    <row r="45" spans="2:14" x14ac:dyDescent="0.25">
      <c r="B45" s="79" t="s">
        <v>381</v>
      </c>
      <c r="C45" s="82" t="s">
        <v>419</v>
      </c>
      <c r="D45" s="82" t="s">
        <v>501</v>
      </c>
      <c r="E45" s="82" t="s">
        <v>406</v>
      </c>
      <c r="F45" s="82" t="s">
        <v>505</v>
      </c>
      <c r="G45" s="85" t="s">
        <v>505</v>
      </c>
      <c r="H45" s="85" t="s">
        <v>515</v>
      </c>
      <c r="I45" s="82" t="s">
        <v>516</v>
      </c>
      <c r="J45" s="82" t="s">
        <v>517</v>
      </c>
      <c r="K45" s="82" t="s">
        <v>385</v>
      </c>
      <c r="L45" s="88" t="s">
        <v>317</v>
      </c>
      <c r="M45" s="54">
        <v>46274</v>
      </c>
      <c r="N45" s="55">
        <v>46307</v>
      </c>
    </row>
    <row r="46" spans="2:14" x14ac:dyDescent="0.25">
      <c r="B46" s="79" t="s">
        <v>381</v>
      </c>
      <c r="C46" s="82" t="s">
        <v>419</v>
      </c>
      <c r="D46" s="82" t="s">
        <v>501</v>
      </c>
      <c r="E46" s="82" t="s">
        <v>406</v>
      </c>
      <c r="F46" s="82" t="s">
        <v>505</v>
      </c>
      <c r="G46" s="85" t="s">
        <v>505</v>
      </c>
      <c r="H46" s="85" t="s">
        <v>518</v>
      </c>
      <c r="I46" s="82" t="s">
        <v>519</v>
      </c>
      <c r="J46" s="82" t="s">
        <v>520</v>
      </c>
      <c r="K46" s="82" t="s">
        <v>385</v>
      </c>
      <c r="L46" s="88" t="s">
        <v>317</v>
      </c>
      <c r="M46" s="54">
        <v>46322</v>
      </c>
      <c r="N46" s="55">
        <v>46354</v>
      </c>
    </row>
    <row r="47" spans="2:14" x14ac:dyDescent="0.25">
      <c r="B47" s="79" t="s">
        <v>381</v>
      </c>
      <c r="C47" s="82" t="s">
        <v>419</v>
      </c>
      <c r="D47" s="82" t="s">
        <v>501</v>
      </c>
      <c r="E47" s="82" t="s">
        <v>408</v>
      </c>
      <c r="F47" s="82" t="s">
        <v>502</v>
      </c>
      <c r="G47" s="85" t="s">
        <v>502</v>
      </c>
      <c r="H47" s="85" t="s">
        <v>502</v>
      </c>
      <c r="I47" s="82" t="s">
        <v>521</v>
      </c>
      <c r="J47" s="82" t="s">
        <v>522</v>
      </c>
      <c r="K47" s="82" t="s">
        <v>385</v>
      </c>
      <c r="L47" s="88" t="s">
        <v>310</v>
      </c>
      <c r="M47" s="54">
        <v>46083</v>
      </c>
      <c r="N47" s="55">
        <v>46109</v>
      </c>
    </row>
    <row r="48" spans="2:14" x14ac:dyDescent="0.25">
      <c r="B48" s="79" t="s">
        <v>381</v>
      </c>
      <c r="C48" s="82" t="s">
        <v>419</v>
      </c>
      <c r="D48" s="82" t="s">
        <v>501</v>
      </c>
      <c r="E48" s="82" t="s">
        <v>408</v>
      </c>
      <c r="F48" s="82" t="s">
        <v>505</v>
      </c>
      <c r="G48" s="85" t="s">
        <v>505</v>
      </c>
      <c r="H48" s="85" t="s">
        <v>506</v>
      </c>
      <c r="I48" s="82" t="s">
        <v>523</v>
      </c>
      <c r="J48" s="82" t="s">
        <v>524</v>
      </c>
      <c r="K48" s="82" t="s">
        <v>385</v>
      </c>
      <c r="L48" s="88" t="s">
        <v>310</v>
      </c>
      <c r="M48" s="54">
        <v>46091</v>
      </c>
      <c r="N48" s="55">
        <v>46117</v>
      </c>
    </row>
    <row r="49" spans="2:14" x14ac:dyDescent="0.25">
      <c r="B49" s="79" t="s">
        <v>381</v>
      </c>
      <c r="C49" s="82" t="s">
        <v>419</v>
      </c>
      <c r="D49" s="82" t="s">
        <v>501</v>
      </c>
      <c r="E49" s="82" t="s">
        <v>408</v>
      </c>
      <c r="F49" s="82" t="s">
        <v>505</v>
      </c>
      <c r="G49" s="85" t="s">
        <v>505</v>
      </c>
      <c r="H49" s="85" t="s">
        <v>509</v>
      </c>
      <c r="I49" s="82" t="s">
        <v>525</v>
      </c>
      <c r="J49" s="82" t="s">
        <v>526</v>
      </c>
      <c r="K49" s="82" t="s">
        <v>385</v>
      </c>
      <c r="L49" s="88" t="s">
        <v>226</v>
      </c>
      <c r="M49" s="54">
        <v>46133</v>
      </c>
      <c r="N49" s="55">
        <v>46153</v>
      </c>
    </row>
    <row r="50" spans="2:14" x14ac:dyDescent="0.25">
      <c r="B50" s="79" t="s">
        <v>381</v>
      </c>
      <c r="C50" s="82" t="s">
        <v>419</v>
      </c>
      <c r="D50" s="82" t="s">
        <v>501</v>
      </c>
      <c r="E50" s="82" t="s">
        <v>408</v>
      </c>
      <c r="F50" s="82" t="s">
        <v>505</v>
      </c>
      <c r="G50" s="85" t="s">
        <v>505</v>
      </c>
      <c r="H50" s="85" t="s">
        <v>512</v>
      </c>
      <c r="I50" s="82" t="s">
        <v>527</v>
      </c>
      <c r="J50" s="82" t="s">
        <v>528</v>
      </c>
      <c r="K50" s="82" t="s">
        <v>385</v>
      </c>
      <c r="L50" s="88" t="s">
        <v>317</v>
      </c>
      <c r="M50" s="54">
        <v>46154</v>
      </c>
      <c r="N50" s="55">
        <v>46189</v>
      </c>
    </row>
    <row r="51" spans="2:14" x14ac:dyDescent="0.25">
      <c r="B51" s="79" t="s">
        <v>381</v>
      </c>
      <c r="C51" s="82" t="s">
        <v>419</v>
      </c>
      <c r="D51" s="82" t="s">
        <v>501</v>
      </c>
      <c r="E51" s="82" t="s">
        <v>408</v>
      </c>
      <c r="F51" s="82" t="s">
        <v>505</v>
      </c>
      <c r="G51" s="85" t="s">
        <v>505</v>
      </c>
      <c r="H51" s="85" t="s">
        <v>518</v>
      </c>
      <c r="I51" s="82" t="s">
        <v>529</v>
      </c>
      <c r="J51" s="82" t="s">
        <v>530</v>
      </c>
      <c r="K51" s="82" t="s">
        <v>385</v>
      </c>
      <c r="L51" s="88" t="s">
        <v>317</v>
      </c>
      <c r="M51" s="54">
        <v>46230</v>
      </c>
      <c r="N51" s="55">
        <v>46261</v>
      </c>
    </row>
    <row r="52" spans="2:14" x14ac:dyDescent="0.25">
      <c r="B52" s="79" t="s">
        <v>381</v>
      </c>
      <c r="C52" s="82" t="s">
        <v>419</v>
      </c>
      <c r="D52" s="82" t="s">
        <v>501</v>
      </c>
      <c r="E52" s="82" t="s">
        <v>408</v>
      </c>
      <c r="F52" s="82" t="s">
        <v>505</v>
      </c>
      <c r="G52" s="85" t="s">
        <v>505</v>
      </c>
      <c r="H52" s="85" t="s">
        <v>515</v>
      </c>
      <c r="I52" s="82" t="s">
        <v>531</v>
      </c>
      <c r="J52" s="82" t="s">
        <v>532</v>
      </c>
      <c r="K52" s="82" t="s">
        <v>385</v>
      </c>
      <c r="L52" s="88" t="s">
        <v>317</v>
      </c>
      <c r="M52" s="54">
        <v>46242</v>
      </c>
      <c r="N52" s="55">
        <v>46273</v>
      </c>
    </row>
    <row r="53" spans="2:14" x14ac:dyDescent="0.25">
      <c r="B53" s="79" t="s">
        <v>381</v>
      </c>
      <c r="C53" s="82" t="s">
        <v>419</v>
      </c>
      <c r="D53" s="82" t="s">
        <v>501</v>
      </c>
      <c r="E53" s="82" t="s">
        <v>411</v>
      </c>
      <c r="F53" s="82" t="s">
        <v>502</v>
      </c>
      <c r="G53" s="85" t="s">
        <v>502</v>
      </c>
      <c r="H53" s="85" t="s">
        <v>502</v>
      </c>
      <c r="I53" s="82" t="s">
        <v>533</v>
      </c>
      <c r="J53" s="82" t="s">
        <v>534</v>
      </c>
      <c r="K53" s="82" t="s">
        <v>385</v>
      </c>
      <c r="L53" s="88" t="s">
        <v>310</v>
      </c>
      <c r="M53" s="54">
        <v>46060</v>
      </c>
      <c r="N53" s="55">
        <v>46084</v>
      </c>
    </row>
    <row r="54" spans="2:14" x14ac:dyDescent="0.25">
      <c r="B54" s="79" t="s">
        <v>381</v>
      </c>
      <c r="C54" s="82" t="s">
        <v>419</v>
      </c>
      <c r="D54" s="82" t="s">
        <v>501</v>
      </c>
      <c r="E54" s="82" t="s">
        <v>411</v>
      </c>
      <c r="F54" s="82" t="s">
        <v>505</v>
      </c>
      <c r="G54" s="85" t="s">
        <v>505</v>
      </c>
      <c r="H54" s="85" t="s">
        <v>535</v>
      </c>
      <c r="I54" s="82" t="s">
        <v>536</v>
      </c>
      <c r="J54" s="82" t="s">
        <v>537</v>
      </c>
      <c r="K54" s="82" t="s">
        <v>385</v>
      </c>
      <c r="L54" s="88" t="s">
        <v>310</v>
      </c>
      <c r="M54" s="54">
        <v>46085</v>
      </c>
      <c r="N54" s="55">
        <v>46111</v>
      </c>
    </row>
    <row r="55" spans="2:14" x14ac:dyDescent="0.25">
      <c r="B55" s="79" t="s">
        <v>381</v>
      </c>
      <c r="C55" s="82" t="s">
        <v>419</v>
      </c>
      <c r="D55" s="82" t="s">
        <v>501</v>
      </c>
      <c r="E55" s="82" t="s">
        <v>411</v>
      </c>
      <c r="F55" s="82" t="s">
        <v>505</v>
      </c>
      <c r="G55" s="85" t="s">
        <v>505</v>
      </c>
      <c r="H55" s="85" t="s">
        <v>509</v>
      </c>
      <c r="I55" s="82" t="s">
        <v>538</v>
      </c>
      <c r="J55" s="82" t="s">
        <v>539</v>
      </c>
      <c r="K55" s="82" t="s">
        <v>385</v>
      </c>
      <c r="L55" s="88" t="s">
        <v>310</v>
      </c>
      <c r="M55" s="54">
        <v>46085</v>
      </c>
      <c r="N55" s="55">
        <v>46111</v>
      </c>
    </row>
    <row r="56" spans="2:14" x14ac:dyDescent="0.25">
      <c r="B56" s="79" t="s">
        <v>381</v>
      </c>
      <c r="C56" s="82" t="s">
        <v>419</v>
      </c>
      <c r="D56" s="82" t="s">
        <v>501</v>
      </c>
      <c r="E56" s="82" t="s">
        <v>411</v>
      </c>
      <c r="F56" s="82" t="s">
        <v>505</v>
      </c>
      <c r="G56" s="85" t="s">
        <v>505</v>
      </c>
      <c r="H56" s="85" t="s">
        <v>512</v>
      </c>
      <c r="I56" s="82" t="s">
        <v>540</v>
      </c>
      <c r="J56" s="82" t="s">
        <v>541</v>
      </c>
      <c r="K56" s="82" t="s">
        <v>385</v>
      </c>
      <c r="L56" s="88" t="s">
        <v>317</v>
      </c>
      <c r="M56" s="54">
        <v>46126</v>
      </c>
      <c r="N56" s="55">
        <v>46158</v>
      </c>
    </row>
    <row r="57" spans="2:14" x14ac:dyDescent="0.25">
      <c r="B57" s="79" t="s">
        <v>381</v>
      </c>
      <c r="C57" s="82" t="s">
        <v>419</v>
      </c>
      <c r="D57" s="82" t="s">
        <v>501</v>
      </c>
      <c r="E57" s="82" t="s">
        <v>413</v>
      </c>
      <c r="F57" s="82" t="s">
        <v>502</v>
      </c>
      <c r="G57" s="85" t="s">
        <v>502</v>
      </c>
      <c r="H57" s="85" t="s">
        <v>502</v>
      </c>
      <c r="I57" s="82" t="s">
        <v>542</v>
      </c>
      <c r="J57" s="82" t="s">
        <v>543</v>
      </c>
      <c r="K57" s="82" t="s">
        <v>385</v>
      </c>
      <c r="L57" s="88" t="s">
        <v>317</v>
      </c>
      <c r="M57" s="54">
        <v>46027</v>
      </c>
      <c r="N57" s="55">
        <v>46058</v>
      </c>
    </row>
    <row r="58" spans="2:14" x14ac:dyDescent="0.25">
      <c r="B58" s="79" t="s">
        <v>381</v>
      </c>
      <c r="C58" s="82" t="s">
        <v>419</v>
      </c>
      <c r="D58" s="82" t="s">
        <v>501</v>
      </c>
      <c r="E58" s="82" t="s">
        <v>413</v>
      </c>
      <c r="F58" s="82" t="s">
        <v>505</v>
      </c>
      <c r="G58" s="85" t="s">
        <v>505</v>
      </c>
      <c r="H58" s="85" t="s">
        <v>506</v>
      </c>
      <c r="I58" s="82" t="s">
        <v>544</v>
      </c>
      <c r="J58" s="82" t="s">
        <v>545</v>
      </c>
      <c r="K58" s="82" t="s">
        <v>385</v>
      </c>
      <c r="L58" s="88" t="s">
        <v>317</v>
      </c>
      <c r="M58" s="54">
        <v>46077</v>
      </c>
      <c r="N58" s="55">
        <v>46111</v>
      </c>
    </row>
    <row r="59" spans="2:14" x14ac:dyDescent="0.25">
      <c r="B59" s="79" t="s">
        <v>381</v>
      </c>
      <c r="C59" s="82" t="s">
        <v>419</v>
      </c>
      <c r="D59" s="82" t="s">
        <v>501</v>
      </c>
      <c r="E59" s="82" t="s">
        <v>413</v>
      </c>
      <c r="F59" s="82" t="s">
        <v>505</v>
      </c>
      <c r="G59" s="85" t="s">
        <v>505</v>
      </c>
      <c r="H59" s="85" t="s">
        <v>509</v>
      </c>
      <c r="I59" s="82" t="s">
        <v>546</v>
      </c>
      <c r="J59" s="82" t="s">
        <v>547</v>
      </c>
      <c r="K59" s="82" t="s">
        <v>385</v>
      </c>
      <c r="L59" s="88" t="s">
        <v>217</v>
      </c>
      <c r="M59" s="54">
        <v>46112</v>
      </c>
      <c r="N59" s="55">
        <v>46128</v>
      </c>
    </row>
    <row r="60" spans="2:14" x14ac:dyDescent="0.25">
      <c r="B60" s="79" t="s">
        <v>381</v>
      </c>
      <c r="C60" s="82" t="s">
        <v>419</v>
      </c>
      <c r="D60" s="82" t="s">
        <v>501</v>
      </c>
      <c r="E60" s="82" t="s">
        <v>413</v>
      </c>
      <c r="F60" s="82" t="s">
        <v>505</v>
      </c>
      <c r="G60" s="85" t="s">
        <v>505</v>
      </c>
      <c r="H60" s="85" t="s">
        <v>512</v>
      </c>
      <c r="I60" s="82" t="s">
        <v>548</v>
      </c>
      <c r="J60" s="82" t="s">
        <v>549</v>
      </c>
      <c r="K60" s="82" t="s">
        <v>385</v>
      </c>
      <c r="L60" s="88" t="s">
        <v>317</v>
      </c>
      <c r="M60" s="54">
        <v>46130</v>
      </c>
      <c r="N60" s="55">
        <v>46161</v>
      </c>
    </row>
    <row r="61" spans="2:14" x14ac:dyDescent="0.25">
      <c r="B61" s="79" t="s">
        <v>381</v>
      </c>
      <c r="C61" s="82" t="s">
        <v>419</v>
      </c>
      <c r="D61" s="82" t="s">
        <v>501</v>
      </c>
      <c r="E61" s="82" t="s">
        <v>413</v>
      </c>
      <c r="F61" s="82" t="s">
        <v>505</v>
      </c>
      <c r="G61" s="85" t="s">
        <v>505</v>
      </c>
      <c r="H61" s="85" t="s">
        <v>515</v>
      </c>
      <c r="I61" s="82" t="s">
        <v>550</v>
      </c>
      <c r="J61" s="82" t="s">
        <v>551</v>
      </c>
      <c r="K61" s="82" t="s">
        <v>385</v>
      </c>
      <c r="L61" s="88" t="s">
        <v>317</v>
      </c>
      <c r="M61" s="54">
        <v>46176</v>
      </c>
      <c r="N61" s="55">
        <v>46208</v>
      </c>
    </row>
    <row r="62" spans="2:14" x14ac:dyDescent="0.25">
      <c r="B62" s="79" t="s">
        <v>381</v>
      </c>
      <c r="C62" s="82" t="s">
        <v>419</v>
      </c>
      <c r="D62" s="82" t="s">
        <v>501</v>
      </c>
      <c r="E62" s="82" t="s">
        <v>413</v>
      </c>
      <c r="F62" s="82" t="s">
        <v>505</v>
      </c>
      <c r="G62" s="85" t="s">
        <v>505</v>
      </c>
      <c r="H62" s="85" t="s">
        <v>518</v>
      </c>
      <c r="I62" s="82" t="s">
        <v>552</v>
      </c>
      <c r="J62" s="82" t="s">
        <v>553</v>
      </c>
      <c r="K62" s="82" t="s">
        <v>385</v>
      </c>
      <c r="L62" s="88" t="s">
        <v>317</v>
      </c>
      <c r="M62" s="54">
        <v>46197</v>
      </c>
      <c r="N62" s="55">
        <v>46229</v>
      </c>
    </row>
    <row r="63" spans="2:14" x14ac:dyDescent="0.25">
      <c r="B63" s="79" t="s">
        <v>381</v>
      </c>
      <c r="C63" s="82" t="s">
        <v>419</v>
      </c>
      <c r="D63" s="82" t="s">
        <v>501</v>
      </c>
      <c r="E63" s="82" t="s">
        <v>415</v>
      </c>
      <c r="F63" s="82" t="s">
        <v>502</v>
      </c>
      <c r="G63" s="85" t="s">
        <v>502</v>
      </c>
      <c r="H63" s="85" t="s">
        <v>502</v>
      </c>
      <c r="I63" s="82" t="s">
        <v>554</v>
      </c>
      <c r="J63" s="82" t="s">
        <v>555</v>
      </c>
      <c r="K63" s="82" t="s">
        <v>385</v>
      </c>
      <c r="L63" s="88" t="s">
        <v>317</v>
      </c>
      <c r="M63" s="54">
        <v>46006</v>
      </c>
      <c r="N63" s="55">
        <v>46037</v>
      </c>
    </row>
    <row r="64" spans="2:14" x14ac:dyDescent="0.25">
      <c r="B64" s="79" t="s">
        <v>381</v>
      </c>
      <c r="C64" s="82" t="s">
        <v>419</v>
      </c>
      <c r="D64" s="82" t="s">
        <v>501</v>
      </c>
      <c r="E64" s="82" t="s">
        <v>415</v>
      </c>
      <c r="F64" s="82" t="s">
        <v>505</v>
      </c>
      <c r="G64" s="85" t="s">
        <v>505</v>
      </c>
      <c r="H64" s="85" t="s">
        <v>506</v>
      </c>
      <c r="I64" s="82" t="s">
        <v>556</v>
      </c>
      <c r="J64" s="82" t="s">
        <v>557</v>
      </c>
      <c r="K64" s="82" t="s">
        <v>385</v>
      </c>
      <c r="L64" s="88" t="s">
        <v>317</v>
      </c>
      <c r="M64" s="54">
        <v>46104</v>
      </c>
      <c r="N64" s="55">
        <v>46135</v>
      </c>
    </row>
    <row r="65" spans="2:14" x14ac:dyDescent="0.25">
      <c r="B65" s="79" t="s">
        <v>381</v>
      </c>
      <c r="C65" s="82" t="s">
        <v>419</v>
      </c>
      <c r="D65" s="82" t="s">
        <v>501</v>
      </c>
      <c r="E65" s="82" t="s">
        <v>415</v>
      </c>
      <c r="F65" s="82" t="s">
        <v>505</v>
      </c>
      <c r="G65" s="85" t="s">
        <v>505</v>
      </c>
      <c r="H65" s="85" t="s">
        <v>509</v>
      </c>
      <c r="I65" s="82" t="s">
        <v>558</v>
      </c>
      <c r="J65" s="82" t="s">
        <v>559</v>
      </c>
      <c r="K65" s="82" t="s">
        <v>385</v>
      </c>
      <c r="L65" s="88" t="s">
        <v>226</v>
      </c>
      <c r="M65" s="54">
        <v>46112</v>
      </c>
      <c r="N65" s="55">
        <v>46132</v>
      </c>
    </row>
    <row r="66" spans="2:14" x14ac:dyDescent="0.25">
      <c r="B66" s="79" t="s">
        <v>381</v>
      </c>
      <c r="C66" s="82" t="s">
        <v>419</v>
      </c>
      <c r="D66" s="82" t="s">
        <v>501</v>
      </c>
      <c r="E66" s="82" t="s">
        <v>415</v>
      </c>
      <c r="F66" s="82" t="s">
        <v>505</v>
      </c>
      <c r="G66" s="85" t="s">
        <v>505</v>
      </c>
      <c r="H66" s="85" t="s">
        <v>512</v>
      </c>
      <c r="I66" s="82" t="s">
        <v>560</v>
      </c>
      <c r="J66" s="82" t="s">
        <v>561</v>
      </c>
      <c r="K66" s="82" t="s">
        <v>385</v>
      </c>
      <c r="L66" s="88" t="s">
        <v>317</v>
      </c>
      <c r="M66" s="54">
        <v>46151</v>
      </c>
      <c r="N66" s="55">
        <v>46186</v>
      </c>
    </row>
    <row r="67" spans="2:14" x14ac:dyDescent="0.25">
      <c r="B67" s="79" t="s">
        <v>381</v>
      </c>
      <c r="C67" s="82" t="s">
        <v>419</v>
      </c>
      <c r="D67" s="82" t="s">
        <v>501</v>
      </c>
      <c r="E67" s="82" t="s">
        <v>415</v>
      </c>
      <c r="F67" s="82" t="s">
        <v>505</v>
      </c>
      <c r="G67" s="85" t="s">
        <v>505</v>
      </c>
      <c r="H67" s="85" t="s">
        <v>518</v>
      </c>
      <c r="I67" s="82" t="s">
        <v>562</v>
      </c>
      <c r="J67" s="82" t="s">
        <v>563</v>
      </c>
      <c r="K67" s="82" t="s">
        <v>385</v>
      </c>
      <c r="L67" s="88" t="s">
        <v>317</v>
      </c>
      <c r="M67" s="54">
        <v>46197</v>
      </c>
      <c r="N67" s="55">
        <v>46229</v>
      </c>
    </row>
    <row r="68" spans="2:14" x14ac:dyDescent="0.25">
      <c r="B68" s="79" t="s">
        <v>381</v>
      </c>
      <c r="C68" s="82" t="s">
        <v>419</v>
      </c>
      <c r="D68" s="82" t="s">
        <v>501</v>
      </c>
      <c r="E68" s="82" t="s">
        <v>415</v>
      </c>
      <c r="F68" s="82" t="s">
        <v>505</v>
      </c>
      <c r="G68" s="85" t="s">
        <v>505</v>
      </c>
      <c r="H68" s="85" t="s">
        <v>515</v>
      </c>
      <c r="I68" s="82" t="s">
        <v>564</v>
      </c>
      <c r="J68" s="82" t="s">
        <v>565</v>
      </c>
      <c r="K68" s="82" t="s">
        <v>385</v>
      </c>
      <c r="L68" s="88" t="s">
        <v>317</v>
      </c>
      <c r="M68" s="54">
        <v>46209</v>
      </c>
      <c r="N68" s="55">
        <v>46240</v>
      </c>
    </row>
    <row r="69" spans="2:14" x14ac:dyDescent="0.25">
      <c r="B69" s="79" t="s">
        <v>381</v>
      </c>
      <c r="C69" s="82" t="s">
        <v>419</v>
      </c>
      <c r="D69" s="82" t="s">
        <v>417</v>
      </c>
      <c r="E69" s="82" t="s">
        <v>417</v>
      </c>
      <c r="F69" s="82" t="s">
        <v>417</v>
      </c>
      <c r="G69" s="85" t="s">
        <v>417</v>
      </c>
      <c r="H69" s="85" t="s">
        <v>566</v>
      </c>
      <c r="I69" s="82" t="s">
        <v>567</v>
      </c>
      <c r="J69" s="82" t="s">
        <v>568</v>
      </c>
      <c r="K69" s="82" t="s">
        <v>385</v>
      </c>
      <c r="L69" s="88" t="s">
        <v>317</v>
      </c>
      <c r="M69" s="54">
        <v>46505</v>
      </c>
      <c r="N69" s="55">
        <v>46541</v>
      </c>
    </row>
    <row r="70" spans="2:14" x14ac:dyDescent="0.25">
      <c r="B70" s="79" t="s">
        <v>381</v>
      </c>
      <c r="C70" s="82" t="s">
        <v>419</v>
      </c>
      <c r="D70" s="82" t="s">
        <v>417</v>
      </c>
      <c r="E70" s="82" t="s">
        <v>417</v>
      </c>
      <c r="F70" s="82" t="s">
        <v>417</v>
      </c>
      <c r="G70" s="85" t="s">
        <v>417</v>
      </c>
      <c r="H70" s="85" t="s">
        <v>569</v>
      </c>
      <c r="I70" s="82" t="s">
        <v>570</v>
      </c>
      <c r="J70" s="82" t="s">
        <v>571</v>
      </c>
      <c r="K70" s="82" t="s">
        <v>385</v>
      </c>
      <c r="L70" s="88" t="s">
        <v>317</v>
      </c>
      <c r="M70" s="54">
        <v>46557</v>
      </c>
      <c r="N70" s="55">
        <v>46588</v>
      </c>
    </row>
    <row r="71" spans="2:14" x14ac:dyDescent="0.25">
      <c r="B71" s="79" t="s">
        <v>381</v>
      </c>
      <c r="C71" s="82" t="s">
        <v>572</v>
      </c>
      <c r="D71" s="82" t="s">
        <v>573</v>
      </c>
      <c r="E71" s="82" t="s">
        <v>574</v>
      </c>
      <c r="F71" s="82" t="s">
        <v>574</v>
      </c>
      <c r="G71" s="85" t="s">
        <v>574</v>
      </c>
      <c r="H71" s="85" t="s">
        <v>574</v>
      </c>
      <c r="I71" s="82" t="s">
        <v>575</v>
      </c>
      <c r="J71" s="82" t="s">
        <v>576</v>
      </c>
      <c r="K71" s="82" t="s">
        <v>385</v>
      </c>
      <c r="L71" s="88" t="s">
        <v>310</v>
      </c>
      <c r="M71" s="54">
        <v>46077</v>
      </c>
      <c r="N71" s="55">
        <v>46100</v>
      </c>
    </row>
    <row r="72" spans="2:14" x14ac:dyDescent="0.25">
      <c r="B72" s="79" t="s">
        <v>381</v>
      </c>
      <c r="C72" s="82" t="s">
        <v>572</v>
      </c>
      <c r="D72" s="82" t="s">
        <v>573</v>
      </c>
      <c r="E72" s="82" t="s">
        <v>577</v>
      </c>
      <c r="F72" s="82" t="s">
        <v>577</v>
      </c>
      <c r="G72" s="85" t="s">
        <v>577</v>
      </c>
      <c r="H72" s="85" t="s">
        <v>577</v>
      </c>
      <c r="I72" s="82" t="s">
        <v>578</v>
      </c>
      <c r="J72" s="82" t="s">
        <v>579</v>
      </c>
      <c r="K72" s="82" t="s">
        <v>385</v>
      </c>
      <c r="L72" s="88" t="s">
        <v>310</v>
      </c>
      <c r="M72" s="54">
        <v>46077</v>
      </c>
      <c r="N72" s="55">
        <v>46100</v>
      </c>
    </row>
    <row r="73" spans="2:14" x14ac:dyDescent="0.25">
      <c r="B73" s="79" t="s">
        <v>381</v>
      </c>
      <c r="C73" s="82" t="s">
        <v>572</v>
      </c>
      <c r="D73" s="82" t="s">
        <v>573</v>
      </c>
      <c r="E73" s="82" t="s">
        <v>580</v>
      </c>
      <c r="F73" s="82" t="s">
        <v>580</v>
      </c>
      <c r="G73" s="85" t="s">
        <v>580</v>
      </c>
      <c r="H73" s="85" t="s">
        <v>580</v>
      </c>
      <c r="I73" s="82" t="s">
        <v>581</v>
      </c>
      <c r="J73" s="82" t="s">
        <v>582</v>
      </c>
      <c r="K73" s="82" t="s">
        <v>385</v>
      </c>
      <c r="L73" s="88" t="s">
        <v>310</v>
      </c>
      <c r="M73" s="54">
        <v>46077</v>
      </c>
      <c r="N73" s="55">
        <v>46100</v>
      </c>
    </row>
    <row r="74" spans="2:14" x14ac:dyDescent="0.25">
      <c r="B74" s="79" t="s">
        <v>381</v>
      </c>
      <c r="C74" s="82" t="s">
        <v>572</v>
      </c>
      <c r="D74" s="82" t="s">
        <v>573</v>
      </c>
      <c r="E74" s="82" t="s">
        <v>583</v>
      </c>
      <c r="F74" s="82" t="s">
        <v>583</v>
      </c>
      <c r="G74" s="85" t="s">
        <v>583</v>
      </c>
      <c r="H74" s="85" t="s">
        <v>583</v>
      </c>
      <c r="I74" s="82" t="s">
        <v>584</v>
      </c>
      <c r="J74" s="82" t="s">
        <v>585</v>
      </c>
      <c r="K74" s="82" t="s">
        <v>385</v>
      </c>
      <c r="L74" s="88" t="s">
        <v>310</v>
      </c>
      <c r="M74" s="54">
        <v>46077</v>
      </c>
      <c r="N74" s="55">
        <v>46100</v>
      </c>
    </row>
    <row r="75" spans="2:14" x14ac:dyDescent="0.25">
      <c r="B75" s="79" t="s">
        <v>381</v>
      </c>
      <c r="C75" s="82" t="s">
        <v>572</v>
      </c>
      <c r="D75" s="82" t="s">
        <v>573</v>
      </c>
      <c r="E75" s="82" t="s">
        <v>586</v>
      </c>
      <c r="F75" s="82" t="s">
        <v>586</v>
      </c>
      <c r="G75" s="85" t="s">
        <v>586</v>
      </c>
      <c r="H75" s="85" t="s">
        <v>586</v>
      </c>
      <c r="I75" s="82" t="s">
        <v>587</v>
      </c>
      <c r="J75" s="82" t="s">
        <v>588</v>
      </c>
      <c r="K75" s="82" t="s">
        <v>385</v>
      </c>
      <c r="L75" s="88" t="s">
        <v>310</v>
      </c>
      <c r="M75" s="54">
        <v>46077</v>
      </c>
      <c r="N75" s="55">
        <v>46100</v>
      </c>
    </row>
    <row r="76" spans="2:14" x14ac:dyDescent="0.25">
      <c r="B76" s="79" t="s">
        <v>381</v>
      </c>
      <c r="C76" s="82" t="s">
        <v>572</v>
      </c>
      <c r="D76" s="82" t="s">
        <v>573</v>
      </c>
      <c r="E76" s="82" t="s">
        <v>589</v>
      </c>
      <c r="F76" s="82" t="s">
        <v>589</v>
      </c>
      <c r="G76" s="85" t="s">
        <v>589</v>
      </c>
      <c r="H76" s="85" t="s">
        <v>589</v>
      </c>
      <c r="I76" s="82" t="s">
        <v>590</v>
      </c>
      <c r="J76" s="82" t="s">
        <v>591</v>
      </c>
      <c r="K76" s="82" t="s">
        <v>385</v>
      </c>
      <c r="L76" s="88" t="s">
        <v>310</v>
      </c>
      <c r="M76" s="54">
        <v>46077</v>
      </c>
      <c r="N76" s="55">
        <v>46100</v>
      </c>
    </row>
    <row r="77" spans="2:14" x14ac:dyDescent="0.25">
      <c r="B77" s="79" t="s">
        <v>381</v>
      </c>
      <c r="C77" s="82" t="s">
        <v>572</v>
      </c>
      <c r="D77" s="82" t="s">
        <v>573</v>
      </c>
      <c r="E77" s="82" t="s">
        <v>592</v>
      </c>
      <c r="F77" s="82" t="s">
        <v>592</v>
      </c>
      <c r="G77" s="85" t="s">
        <v>592</v>
      </c>
      <c r="H77" s="85" t="s">
        <v>592</v>
      </c>
      <c r="I77" s="82" t="s">
        <v>593</v>
      </c>
      <c r="J77" s="82" t="s">
        <v>594</v>
      </c>
      <c r="K77" s="82" t="s">
        <v>385</v>
      </c>
      <c r="L77" s="88" t="s">
        <v>317</v>
      </c>
      <c r="M77" s="54">
        <v>45973</v>
      </c>
      <c r="N77" s="55">
        <v>46005</v>
      </c>
    </row>
    <row r="78" spans="2:14" x14ac:dyDescent="0.25">
      <c r="B78" s="79" t="s">
        <v>381</v>
      </c>
      <c r="C78" s="82" t="s">
        <v>572</v>
      </c>
      <c r="D78" s="82" t="s">
        <v>573</v>
      </c>
      <c r="E78" s="82" t="s">
        <v>595</v>
      </c>
      <c r="F78" s="82" t="s">
        <v>595</v>
      </c>
      <c r="G78" s="85" t="s">
        <v>595</v>
      </c>
      <c r="H78" s="85" t="s">
        <v>595</v>
      </c>
      <c r="I78" s="82" t="s">
        <v>596</v>
      </c>
      <c r="J78" s="82" t="s">
        <v>597</v>
      </c>
      <c r="K78" s="82" t="s">
        <v>385</v>
      </c>
      <c r="L78" s="88" t="s">
        <v>317</v>
      </c>
      <c r="M78" s="54">
        <v>46006</v>
      </c>
      <c r="N78" s="55">
        <v>46037</v>
      </c>
    </row>
    <row r="79" spans="2:14" x14ac:dyDescent="0.25">
      <c r="B79" s="79" t="s">
        <v>381</v>
      </c>
      <c r="C79" s="82" t="s">
        <v>572</v>
      </c>
      <c r="D79" s="82" t="s">
        <v>573</v>
      </c>
      <c r="E79" s="82" t="s">
        <v>598</v>
      </c>
      <c r="F79" s="82" t="s">
        <v>598</v>
      </c>
      <c r="G79" s="85" t="s">
        <v>598</v>
      </c>
      <c r="H79" s="85" t="s">
        <v>598</v>
      </c>
      <c r="I79" s="82" t="s">
        <v>599</v>
      </c>
      <c r="J79" s="82" t="s">
        <v>600</v>
      </c>
      <c r="K79" s="82" t="s">
        <v>385</v>
      </c>
      <c r="L79" s="88" t="s">
        <v>310</v>
      </c>
      <c r="M79" s="54">
        <v>46077</v>
      </c>
      <c r="N79" s="55">
        <v>46100</v>
      </c>
    </row>
    <row r="80" spans="2:14" x14ac:dyDescent="0.25">
      <c r="B80" s="79" t="s">
        <v>381</v>
      </c>
      <c r="C80" s="82" t="s">
        <v>572</v>
      </c>
      <c r="D80" s="82" t="s">
        <v>601</v>
      </c>
      <c r="E80" s="82" t="s">
        <v>577</v>
      </c>
      <c r="F80" s="82" t="s">
        <v>577</v>
      </c>
      <c r="G80" s="85" t="s">
        <v>577</v>
      </c>
      <c r="H80" s="85" t="s">
        <v>577</v>
      </c>
      <c r="I80" s="82" t="s">
        <v>602</v>
      </c>
      <c r="J80" s="82" t="s">
        <v>603</v>
      </c>
      <c r="K80" s="82" t="s">
        <v>385</v>
      </c>
      <c r="L80" s="88" t="s">
        <v>310</v>
      </c>
      <c r="M80" s="54">
        <v>46104</v>
      </c>
      <c r="N80" s="55">
        <v>46127</v>
      </c>
    </row>
    <row r="81" spans="2:14" x14ac:dyDescent="0.25">
      <c r="B81" s="79" t="s">
        <v>381</v>
      </c>
      <c r="C81" s="82" t="s">
        <v>572</v>
      </c>
      <c r="D81" s="82" t="s">
        <v>601</v>
      </c>
      <c r="E81" s="82" t="s">
        <v>580</v>
      </c>
      <c r="F81" s="82" t="s">
        <v>580</v>
      </c>
      <c r="G81" s="85" t="s">
        <v>580</v>
      </c>
      <c r="H81" s="85" t="s">
        <v>580</v>
      </c>
      <c r="I81" s="82" t="s">
        <v>604</v>
      </c>
      <c r="J81" s="82" t="s">
        <v>605</v>
      </c>
      <c r="K81" s="82" t="s">
        <v>385</v>
      </c>
      <c r="L81" s="88" t="s">
        <v>310</v>
      </c>
      <c r="M81" s="54">
        <v>46104</v>
      </c>
      <c r="N81" s="55">
        <v>46127</v>
      </c>
    </row>
    <row r="82" spans="2:14" x14ac:dyDescent="0.25">
      <c r="B82" s="79" t="s">
        <v>381</v>
      </c>
      <c r="C82" s="82" t="s">
        <v>572</v>
      </c>
      <c r="D82" s="82" t="s">
        <v>601</v>
      </c>
      <c r="E82" s="82" t="s">
        <v>583</v>
      </c>
      <c r="F82" s="82" t="s">
        <v>583</v>
      </c>
      <c r="G82" s="85" t="s">
        <v>583</v>
      </c>
      <c r="H82" s="85" t="s">
        <v>583</v>
      </c>
      <c r="I82" s="82" t="s">
        <v>606</v>
      </c>
      <c r="J82" s="82" t="s">
        <v>607</v>
      </c>
      <c r="K82" s="82" t="s">
        <v>385</v>
      </c>
      <c r="L82" s="88" t="s">
        <v>310</v>
      </c>
      <c r="M82" s="54">
        <v>46104</v>
      </c>
      <c r="N82" s="55">
        <v>46127</v>
      </c>
    </row>
    <row r="83" spans="2:14" x14ac:dyDescent="0.25">
      <c r="B83" s="79" t="s">
        <v>381</v>
      </c>
      <c r="C83" s="82" t="s">
        <v>572</v>
      </c>
      <c r="D83" s="82" t="s">
        <v>601</v>
      </c>
      <c r="E83" s="82" t="s">
        <v>586</v>
      </c>
      <c r="F83" s="82" t="s">
        <v>586</v>
      </c>
      <c r="G83" s="85" t="s">
        <v>586</v>
      </c>
      <c r="H83" s="85" t="s">
        <v>586</v>
      </c>
      <c r="I83" s="82" t="s">
        <v>608</v>
      </c>
      <c r="J83" s="82" t="s">
        <v>609</v>
      </c>
      <c r="K83" s="82" t="s">
        <v>385</v>
      </c>
      <c r="L83" s="88" t="s">
        <v>310</v>
      </c>
      <c r="M83" s="54">
        <v>46104</v>
      </c>
      <c r="N83" s="55">
        <v>46127</v>
      </c>
    </row>
    <row r="84" spans="2:14" x14ac:dyDescent="0.25">
      <c r="B84" s="79" t="s">
        <v>381</v>
      </c>
      <c r="C84" s="82" t="s">
        <v>572</v>
      </c>
      <c r="D84" s="82" t="s">
        <v>601</v>
      </c>
      <c r="E84" s="82" t="s">
        <v>589</v>
      </c>
      <c r="F84" s="82" t="s">
        <v>589</v>
      </c>
      <c r="G84" s="85" t="s">
        <v>589</v>
      </c>
      <c r="H84" s="85" t="s">
        <v>589</v>
      </c>
      <c r="I84" s="82" t="s">
        <v>610</v>
      </c>
      <c r="J84" s="82" t="s">
        <v>611</v>
      </c>
      <c r="K84" s="82" t="s">
        <v>385</v>
      </c>
      <c r="L84" s="88" t="s">
        <v>310</v>
      </c>
      <c r="M84" s="54">
        <v>46104</v>
      </c>
      <c r="N84" s="55">
        <v>46127</v>
      </c>
    </row>
    <row r="85" spans="2:14" x14ac:dyDescent="0.25">
      <c r="B85" s="79" t="s">
        <v>381</v>
      </c>
      <c r="C85" s="82" t="s">
        <v>572</v>
      </c>
      <c r="D85" s="82" t="s">
        <v>601</v>
      </c>
      <c r="E85" s="82" t="s">
        <v>612</v>
      </c>
      <c r="F85" s="82" t="s">
        <v>612</v>
      </c>
      <c r="G85" s="85" t="s">
        <v>612</v>
      </c>
      <c r="H85" s="85" t="s">
        <v>612</v>
      </c>
      <c r="I85" s="82" t="s">
        <v>613</v>
      </c>
      <c r="J85" s="82" t="s">
        <v>614</v>
      </c>
      <c r="K85" s="82" t="s">
        <v>385</v>
      </c>
      <c r="L85" s="88" t="s">
        <v>310</v>
      </c>
      <c r="M85" s="54">
        <v>46039</v>
      </c>
      <c r="N85" s="55">
        <v>46062</v>
      </c>
    </row>
    <row r="86" spans="2:14" x14ac:dyDescent="0.25">
      <c r="B86" s="79" t="s">
        <v>381</v>
      </c>
      <c r="C86" s="82" t="s">
        <v>572</v>
      </c>
      <c r="D86" s="82" t="s">
        <v>601</v>
      </c>
      <c r="E86" s="82" t="s">
        <v>615</v>
      </c>
      <c r="F86" s="82" t="s">
        <v>615</v>
      </c>
      <c r="G86" s="85" t="s">
        <v>615</v>
      </c>
      <c r="H86" s="85" t="s">
        <v>615</v>
      </c>
      <c r="I86" s="82" t="s">
        <v>616</v>
      </c>
      <c r="J86" s="82" t="s">
        <v>617</v>
      </c>
      <c r="K86" s="82" t="s">
        <v>385</v>
      </c>
      <c r="L86" s="88" t="s">
        <v>310</v>
      </c>
      <c r="M86" s="54">
        <v>46104</v>
      </c>
      <c r="N86" s="55">
        <v>46127</v>
      </c>
    </row>
    <row r="87" spans="2:14" x14ac:dyDescent="0.25">
      <c r="B87" s="79" t="s">
        <v>381</v>
      </c>
      <c r="C87" s="82" t="s">
        <v>572</v>
      </c>
      <c r="D87" s="82" t="s">
        <v>618</v>
      </c>
      <c r="E87" s="82" t="s">
        <v>619</v>
      </c>
      <c r="F87" s="82" t="s">
        <v>619</v>
      </c>
      <c r="G87" s="85" t="s">
        <v>619</v>
      </c>
      <c r="H87" s="85" t="s">
        <v>619</v>
      </c>
      <c r="I87" s="82" t="s">
        <v>620</v>
      </c>
      <c r="J87" s="82" t="s">
        <v>621</v>
      </c>
      <c r="K87" s="82" t="s">
        <v>385</v>
      </c>
      <c r="L87" s="88" t="s">
        <v>317</v>
      </c>
      <c r="M87" s="54">
        <v>46128</v>
      </c>
      <c r="N87" s="55">
        <v>46160</v>
      </c>
    </row>
    <row r="88" spans="2:14" x14ac:dyDescent="0.25">
      <c r="B88" s="79" t="s">
        <v>381</v>
      </c>
      <c r="C88" s="82" t="s">
        <v>572</v>
      </c>
      <c r="D88" s="82" t="s">
        <v>618</v>
      </c>
      <c r="E88" s="82" t="s">
        <v>577</v>
      </c>
      <c r="F88" s="82" t="s">
        <v>577</v>
      </c>
      <c r="G88" s="85" t="s">
        <v>577</v>
      </c>
      <c r="H88" s="85" t="s">
        <v>577</v>
      </c>
      <c r="I88" s="82" t="s">
        <v>622</v>
      </c>
      <c r="J88" s="82" t="s">
        <v>623</v>
      </c>
      <c r="K88" s="82" t="s">
        <v>385</v>
      </c>
      <c r="L88" s="88" t="s">
        <v>317</v>
      </c>
      <c r="M88" s="54">
        <v>46128</v>
      </c>
      <c r="N88" s="55">
        <v>46160</v>
      </c>
    </row>
    <row r="89" spans="2:14" x14ac:dyDescent="0.25">
      <c r="B89" s="79" t="s">
        <v>381</v>
      </c>
      <c r="C89" s="82" t="s">
        <v>572</v>
      </c>
      <c r="D89" s="82" t="s">
        <v>618</v>
      </c>
      <c r="E89" s="82" t="s">
        <v>580</v>
      </c>
      <c r="F89" s="82" t="s">
        <v>580</v>
      </c>
      <c r="G89" s="85" t="s">
        <v>580</v>
      </c>
      <c r="H89" s="85" t="s">
        <v>580</v>
      </c>
      <c r="I89" s="82" t="s">
        <v>624</v>
      </c>
      <c r="J89" s="82" t="s">
        <v>625</v>
      </c>
      <c r="K89" s="82" t="s">
        <v>385</v>
      </c>
      <c r="L89" s="88" t="s">
        <v>317</v>
      </c>
      <c r="M89" s="54">
        <v>46128</v>
      </c>
      <c r="N89" s="55">
        <v>46160</v>
      </c>
    </row>
    <row r="90" spans="2:14" x14ac:dyDescent="0.25">
      <c r="B90" s="79" t="s">
        <v>381</v>
      </c>
      <c r="C90" s="82" t="s">
        <v>572</v>
      </c>
      <c r="D90" s="82" t="s">
        <v>618</v>
      </c>
      <c r="E90" s="82" t="s">
        <v>583</v>
      </c>
      <c r="F90" s="82" t="s">
        <v>583</v>
      </c>
      <c r="G90" s="85" t="s">
        <v>583</v>
      </c>
      <c r="H90" s="85" t="s">
        <v>583</v>
      </c>
      <c r="I90" s="82" t="s">
        <v>626</v>
      </c>
      <c r="J90" s="82" t="s">
        <v>627</v>
      </c>
      <c r="K90" s="82" t="s">
        <v>385</v>
      </c>
      <c r="L90" s="88" t="s">
        <v>317</v>
      </c>
      <c r="M90" s="54">
        <v>46128</v>
      </c>
      <c r="N90" s="55">
        <v>46160</v>
      </c>
    </row>
    <row r="91" spans="2:14" x14ac:dyDescent="0.25">
      <c r="B91" s="79" t="s">
        <v>381</v>
      </c>
      <c r="C91" s="82" t="s">
        <v>572</v>
      </c>
      <c r="D91" s="82" t="s">
        <v>618</v>
      </c>
      <c r="E91" s="82" t="s">
        <v>586</v>
      </c>
      <c r="F91" s="82" t="s">
        <v>586</v>
      </c>
      <c r="G91" s="85" t="s">
        <v>586</v>
      </c>
      <c r="H91" s="85" t="s">
        <v>586</v>
      </c>
      <c r="I91" s="82" t="s">
        <v>628</v>
      </c>
      <c r="J91" s="82" t="s">
        <v>629</v>
      </c>
      <c r="K91" s="82" t="s">
        <v>385</v>
      </c>
      <c r="L91" s="88" t="s">
        <v>317</v>
      </c>
      <c r="M91" s="54">
        <v>46128</v>
      </c>
      <c r="N91" s="55">
        <v>46160</v>
      </c>
    </row>
    <row r="92" spans="2:14" x14ac:dyDescent="0.25">
      <c r="B92" s="79" t="s">
        <v>381</v>
      </c>
      <c r="C92" s="82" t="s">
        <v>572</v>
      </c>
      <c r="D92" s="82" t="s">
        <v>618</v>
      </c>
      <c r="E92" s="82" t="s">
        <v>589</v>
      </c>
      <c r="F92" s="82" t="s">
        <v>589</v>
      </c>
      <c r="G92" s="85" t="s">
        <v>589</v>
      </c>
      <c r="H92" s="85" t="s">
        <v>589</v>
      </c>
      <c r="I92" s="82" t="s">
        <v>630</v>
      </c>
      <c r="J92" s="82" t="s">
        <v>631</v>
      </c>
      <c r="K92" s="82" t="s">
        <v>385</v>
      </c>
      <c r="L92" s="88" t="s">
        <v>317</v>
      </c>
      <c r="M92" s="54">
        <v>46128</v>
      </c>
      <c r="N92" s="55">
        <v>46160</v>
      </c>
    </row>
    <row r="93" spans="2:14" x14ac:dyDescent="0.25">
      <c r="B93" s="79" t="s">
        <v>381</v>
      </c>
      <c r="C93" s="82" t="s">
        <v>572</v>
      </c>
      <c r="D93" s="82" t="s">
        <v>632</v>
      </c>
      <c r="E93" s="82" t="s">
        <v>633</v>
      </c>
      <c r="F93" s="82" t="s">
        <v>633</v>
      </c>
      <c r="G93" s="85" t="s">
        <v>633</v>
      </c>
      <c r="H93" s="85" t="s">
        <v>633</v>
      </c>
      <c r="I93" s="82" t="s">
        <v>634</v>
      </c>
      <c r="J93" s="82" t="s">
        <v>635</v>
      </c>
      <c r="K93" s="82" t="s">
        <v>385</v>
      </c>
      <c r="L93" s="88" t="s">
        <v>317</v>
      </c>
      <c r="M93" s="54">
        <v>46161</v>
      </c>
      <c r="N93" s="55">
        <v>46196</v>
      </c>
    </row>
    <row r="94" spans="2:14" x14ac:dyDescent="0.25">
      <c r="B94" s="79" t="s">
        <v>381</v>
      </c>
      <c r="C94" s="82" t="s">
        <v>572</v>
      </c>
      <c r="D94" s="82" t="s">
        <v>632</v>
      </c>
      <c r="E94" s="82" t="s">
        <v>636</v>
      </c>
      <c r="F94" s="82" t="s">
        <v>636</v>
      </c>
      <c r="G94" s="85" t="s">
        <v>636</v>
      </c>
      <c r="H94" s="85" t="s">
        <v>636</v>
      </c>
      <c r="I94" s="82" t="s">
        <v>637</v>
      </c>
      <c r="J94" s="82" t="s">
        <v>638</v>
      </c>
      <c r="K94" s="82" t="s">
        <v>385</v>
      </c>
      <c r="L94" s="88" t="s">
        <v>317</v>
      </c>
      <c r="M94" s="54">
        <v>46161</v>
      </c>
      <c r="N94" s="55">
        <v>46196</v>
      </c>
    </row>
    <row r="95" spans="2:14" x14ac:dyDescent="0.25">
      <c r="B95" s="79" t="s">
        <v>381</v>
      </c>
      <c r="C95" s="82" t="s">
        <v>572</v>
      </c>
      <c r="D95" s="82" t="s">
        <v>639</v>
      </c>
      <c r="E95" s="82" t="s">
        <v>640</v>
      </c>
      <c r="F95" s="82" t="s">
        <v>640</v>
      </c>
      <c r="G95" s="85" t="s">
        <v>640</v>
      </c>
      <c r="H95" s="85" t="s">
        <v>640</v>
      </c>
      <c r="I95" s="82" t="s">
        <v>641</v>
      </c>
      <c r="J95" s="82" t="s">
        <v>642</v>
      </c>
      <c r="K95" s="82" t="s">
        <v>385</v>
      </c>
      <c r="L95" s="88" t="s">
        <v>317</v>
      </c>
      <c r="M95" s="54">
        <v>46197</v>
      </c>
      <c r="N95" s="55">
        <v>46229</v>
      </c>
    </row>
    <row r="96" spans="2:14" x14ac:dyDescent="0.25">
      <c r="B96" s="79" t="s">
        <v>381</v>
      </c>
      <c r="C96" s="82" t="s">
        <v>572</v>
      </c>
      <c r="D96" s="82" t="s">
        <v>639</v>
      </c>
      <c r="E96" s="82" t="s">
        <v>643</v>
      </c>
      <c r="F96" s="82" t="s">
        <v>643</v>
      </c>
      <c r="G96" s="85" t="s">
        <v>643</v>
      </c>
      <c r="H96" s="85" t="s">
        <v>643</v>
      </c>
      <c r="I96" s="82" t="s">
        <v>644</v>
      </c>
      <c r="J96" s="82" t="s">
        <v>645</v>
      </c>
      <c r="K96" s="82" t="s">
        <v>385</v>
      </c>
      <c r="L96" s="88" t="s">
        <v>317</v>
      </c>
      <c r="M96" s="54">
        <v>46197</v>
      </c>
      <c r="N96" s="55">
        <v>46229</v>
      </c>
    </row>
    <row r="97" spans="2:14" x14ac:dyDescent="0.25">
      <c r="B97" s="79" t="s">
        <v>381</v>
      </c>
      <c r="C97" s="82" t="s">
        <v>572</v>
      </c>
      <c r="D97" s="82" t="s">
        <v>639</v>
      </c>
      <c r="E97" s="82" t="s">
        <v>633</v>
      </c>
      <c r="F97" s="82" t="s">
        <v>633</v>
      </c>
      <c r="G97" s="85" t="s">
        <v>633</v>
      </c>
      <c r="H97" s="85" t="s">
        <v>633</v>
      </c>
      <c r="I97" s="82" t="s">
        <v>646</v>
      </c>
      <c r="J97" s="82" t="s">
        <v>647</v>
      </c>
      <c r="K97" s="82" t="s">
        <v>385</v>
      </c>
      <c r="L97" s="88" t="s">
        <v>317</v>
      </c>
      <c r="M97" s="54">
        <v>46197</v>
      </c>
      <c r="N97" s="55">
        <v>46229</v>
      </c>
    </row>
    <row r="98" spans="2:14" x14ac:dyDescent="0.25">
      <c r="B98" s="79" t="s">
        <v>381</v>
      </c>
      <c r="C98" s="82" t="s">
        <v>572</v>
      </c>
      <c r="D98" s="82" t="s">
        <v>639</v>
      </c>
      <c r="E98" s="82" t="s">
        <v>648</v>
      </c>
      <c r="F98" s="82" t="s">
        <v>648</v>
      </c>
      <c r="G98" s="85" t="s">
        <v>648</v>
      </c>
      <c r="H98" s="85" t="s">
        <v>648</v>
      </c>
      <c r="I98" s="82" t="s">
        <v>649</v>
      </c>
      <c r="J98" s="82" t="s">
        <v>650</v>
      </c>
      <c r="K98" s="82" t="s">
        <v>385</v>
      </c>
      <c r="L98" s="88" t="s">
        <v>317</v>
      </c>
      <c r="M98" s="54">
        <v>46197</v>
      </c>
      <c r="N98" s="55">
        <v>46229</v>
      </c>
    </row>
    <row r="99" spans="2:14" x14ac:dyDescent="0.25">
      <c r="B99" s="79" t="s">
        <v>381</v>
      </c>
      <c r="C99" s="82" t="s">
        <v>572</v>
      </c>
      <c r="D99" s="82" t="s">
        <v>651</v>
      </c>
      <c r="E99" s="82" t="s">
        <v>652</v>
      </c>
      <c r="F99" s="82" t="s">
        <v>652</v>
      </c>
      <c r="G99" s="85" t="s">
        <v>652</v>
      </c>
      <c r="H99" s="85" t="s">
        <v>652</v>
      </c>
      <c r="I99" s="82" t="s">
        <v>653</v>
      </c>
      <c r="J99" s="82" t="s">
        <v>654</v>
      </c>
      <c r="K99" s="82" t="s">
        <v>385</v>
      </c>
      <c r="L99" s="88" t="s">
        <v>317</v>
      </c>
      <c r="M99" s="54">
        <v>46230</v>
      </c>
      <c r="N99" s="55">
        <v>46261</v>
      </c>
    </row>
    <row r="100" spans="2:14" x14ac:dyDescent="0.25">
      <c r="B100" s="79" t="s">
        <v>381</v>
      </c>
      <c r="C100" s="82" t="s">
        <v>572</v>
      </c>
      <c r="D100" s="82" t="s">
        <v>651</v>
      </c>
      <c r="E100" s="82" t="s">
        <v>655</v>
      </c>
      <c r="F100" s="82" t="s">
        <v>655</v>
      </c>
      <c r="G100" s="85" t="s">
        <v>655</v>
      </c>
      <c r="H100" s="85" t="s">
        <v>655</v>
      </c>
      <c r="I100" s="82" t="s">
        <v>656</v>
      </c>
      <c r="J100" s="82" t="s">
        <v>657</v>
      </c>
      <c r="K100" s="82" t="s">
        <v>385</v>
      </c>
      <c r="L100" s="88" t="s">
        <v>317</v>
      </c>
      <c r="M100" s="54">
        <v>46230</v>
      </c>
      <c r="N100" s="55">
        <v>46261</v>
      </c>
    </row>
    <row r="101" spans="2:14" x14ac:dyDescent="0.25">
      <c r="B101" s="79" t="s">
        <v>381</v>
      </c>
      <c r="C101" s="82" t="s">
        <v>572</v>
      </c>
      <c r="D101" s="82" t="s">
        <v>658</v>
      </c>
      <c r="E101" s="82" t="s">
        <v>659</v>
      </c>
      <c r="F101" s="82" t="s">
        <v>659</v>
      </c>
      <c r="G101" s="85" t="s">
        <v>659</v>
      </c>
      <c r="H101" s="85" t="s">
        <v>659</v>
      </c>
      <c r="I101" s="82" t="s">
        <v>660</v>
      </c>
      <c r="J101" s="82" t="s">
        <v>661</v>
      </c>
      <c r="K101" s="82" t="s">
        <v>385</v>
      </c>
      <c r="L101" s="88" t="s">
        <v>317</v>
      </c>
      <c r="M101" s="54">
        <v>46263</v>
      </c>
      <c r="N101" s="55">
        <v>46295</v>
      </c>
    </row>
    <row r="102" spans="2:14" x14ac:dyDescent="0.25">
      <c r="B102" s="79" t="s">
        <v>381</v>
      </c>
      <c r="C102" s="82" t="s">
        <v>572</v>
      </c>
      <c r="D102" s="82" t="s">
        <v>658</v>
      </c>
      <c r="E102" s="82" t="s">
        <v>652</v>
      </c>
      <c r="F102" s="82" t="s">
        <v>652</v>
      </c>
      <c r="G102" s="85" t="s">
        <v>652</v>
      </c>
      <c r="H102" s="85" t="s">
        <v>652</v>
      </c>
      <c r="I102" s="82" t="s">
        <v>662</v>
      </c>
      <c r="J102" s="82" t="s">
        <v>663</v>
      </c>
      <c r="K102" s="82" t="s">
        <v>385</v>
      </c>
      <c r="L102" s="88" t="s">
        <v>317</v>
      </c>
      <c r="M102" s="54">
        <v>46263</v>
      </c>
      <c r="N102" s="55">
        <v>46295</v>
      </c>
    </row>
    <row r="103" spans="2:14" x14ac:dyDescent="0.25">
      <c r="B103" s="79" t="s">
        <v>381</v>
      </c>
      <c r="C103" s="82" t="s">
        <v>572</v>
      </c>
      <c r="D103" s="82" t="s">
        <v>664</v>
      </c>
      <c r="E103" s="82" t="s">
        <v>665</v>
      </c>
      <c r="F103" s="82" t="s">
        <v>665</v>
      </c>
      <c r="G103" s="85" t="s">
        <v>665</v>
      </c>
      <c r="H103" s="85" t="s">
        <v>665</v>
      </c>
      <c r="I103" s="82" t="s">
        <v>666</v>
      </c>
      <c r="J103" s="82" t="s">
        <v>667</v>
      </c>
      <c r="K103" s="82" t="s">
        <v>385</v>
      </c>
      <c r="L103" s="88" t="s">
        <v>317</v>
      </c>
      <c r="M103" s="54">
        <v>46296</v>
      </c>
      <c r="N103" s="55">
        <v>46328</v>
      </c>
    </row>
    <row r="104" spans="2:14" x14ac:dyDescent="0.25">
      <c r="B104" s="79" t="s">
        <v>381</v>
      </c>
      <c r="C104" s="82" t="s">
        <v>572</v>
      </c>
      <c r="D104" s="82" t="s">
        <v>664</v>
      </c>
      <c r="E104" s="82" t="s">
        <v>668</v>
      </c>
      <c r="F104" s="82" t="s">
        <v>668</v>
      </c>
      <c r="G104" s="85" t="s">
        <v>668</v>
      </c>
      <c r="H104" s="85" t="s">
        <v>668</v>
      </c>
      <c r="I104" s="82" t="s">
        <v>669</v>
      </c>
      <c r="J104" s="82" t="s">
        <v>670</v>
      </c>
      <c r="K104" s="82" t="s">
        <v>385</v>
      </c>
      <c r="L104" s="88" t="s">
        <v>317</v>
      </c>
      <c r="M104" s="54">
        <v>46296</v>
      </c>
      <c r="N104" s="55">
        <v>46328</v>
      </c>
    </row>
    <row r="105" spans="2:14" x14ac:dyDescent="0.25">
      <c r="B105" s="79" t="s">
        <v>381</v>
      </c>
      <c r="C105" s="82" t="s">
        <v>572</v>
      </c>
      <c r="D105" s="82" t="s">
        <v>671</v>
      </c>
      <c r="E105" s="82" t="s">
        <v>672</v>
      </c>
      <c r="F105" s="82" t="s">
        <v>672</v>
      </c>
      <c r="G105" s="85" t="s">
        <v>672</v>
      </c>
      <c r="H105" s="85" t="s">
        <v>672</v>
      </c>
      <c r="I105" s="82" t="s">
        <v>673</v>
      </c>
      <c r="J105" s="82" t="s">
        <v>674</v>
      </c>
      <c r="K105" s="82" t="s">
        <v>385</v>
      </c>
      <c r="L105" s="88" t="s">
        <v>317</v>
      </c>
      <c r="M105" s="54">
        <v>46329</v>
      </c>
      <c r="N105" s="55">
        <v>46361</v>
      </c>
    </row>
    <row r="106" spans="2:14" x14ac:dyDescent="0.25">
      <c r="B106" s="79" t="s">
        <v>381</v>
      </c>
      <c r="C106" s="82" t="s">
        <v>572</v>
      </c>
      <c r="D106" s="82" t="s">
        <v>671</v>
      </c>
      <c r="E106" s="82" t="s">
        <v>675</v>
      </c>
      <c r="F106" s="82" t="s">
        <v>675</v>
      </c>
      <c r="G106" s="85" t="s">
        <v>675</v>
      </c>
      <c r="H106" s="85" t="s">
        <v>675</v>
      </c>
      <c r="I106" s="82" t="s">
        <v>676</v>
      </c>
      <c r="J106" s="82" t="s">
        <v>677</v>
      </c>
      <c r="K106" s="82" t="s">
        <v>385</v>
      </c>
      <c r="L106" s="88" t="s">
        <v>317</v>
      </c>
      <c r="M106" s="54">
        <v>46329</v>
      </c>
      <c r="N106" s="55">
        <v>46361</v>
      </c>
    </row>
    <row r="107" spans="2:14" x14ac:dyDescent="0.25">
      <c r="B107" s="79" t="s">
        <v>381</v>
      </c>
      <c r="C107" s="82" t="s">
        <v>572</v>
      </c>
      <c r="D107" s="82" t="s">
        <v>671</v>
      </c>
      <c r="E107" s="82" t="s">
        <v>678</v>
      </c>
      <c r="F107" s="82" t="s">
        <v>678</v>
      </c>
      <c r="G107" s="85" t="s">
        <v>678</v>
      </c>
      <c r="H107" s="85" t="s">
        <v>678</v>
      </c>
      <c r="I107" s="82" t="s">
        <v>679</v>
      </c>
      <c r="J107" s="82" t="s">
        <v>680</v>
      </c>
      <c r="K107" s="82" t="s">
        <v>385</v>
      </c>
      <c r="L107" s="88" t="s">
        <v>317</v>
      </c>
      <c r="M107" s="54">
        <v>46329</v>
      </c>
      <c r="N107" s="55">
        <v>46361</v>
      </c>
    </row>
    <row r="108" spans="2:14" x14ac:dyDescent="0.25">
      <c r="B108" s="79" t="s">
        <v>381</v>
      </c>
      <c r="C108" s="82" t="s">
        <v>572</v>
      </c>
      <c r="D108" s="82" t="s">
        <v>671</v>
      </c>
      <c r="E108" s="82" t="s">
        <v>668</v>
      </c>
      <c r="F108" s="82" t="s">
        <v>668</v>
      </c>
      <c r="G108" s="85" t="s">
        <v>668</v>
      </c>
      <c r="H108" s="85" t="s">
        <v>668</v>
      </c>
      <c r="I108" s="82" t="s">
        <v>681</v>
      </c>
      <c r="J108" s="82" t="s">
        <v>682</v>
      </c>
      <c r="K108" s="82" t="s">
        <v>385</v>
      </c>
      <c r="L108" s="88" t="s">
        <v>317</v>
      </c>
      <c r="M108" s="54">
        <v>46329</v>
      </c>
      <c r="N108" s="55">
        <v>46361</v>
      </c>
    </row>
    <row r="109" spans="2:14" x14ac:dyDescent="0.25">
      <c r="B109" s="79" t="s">
        <v>381</v>
      </c>
      <c r="C109" s="82" t="s">
        <v>572</v>
      </c>
      <c r="D109" s="82" t="s">
        <v>683</v>
      </c>
      <c r="E109" s="82" t="s">
        <v>684</v>
      </c>
      <c r="F109" s="82" t="s">
        <v>684</v>
      </c>
      <c r="G109" s="85" t="s">
        <v>684</v>
      </c>
      <c r="H109" s="85" t="s">
        <v>684</v>
      </c>
      <c r="I109" s="82" t="s">
        <v>685</v>
      </c>
      <c r="J109" s="82" t="s">
        <v>686</v>
      </c>
      <c r="K109" s="82" t="s">
        <v>385</v>
      </c>
      <c r="L109" s="88" t="s">
        <v>317</v>
      </c>
      <c r="M109" s="54">
        <v>46362</v>
      </c>
      <c r="N109" s="55">
        <v>46393</v>
      </c>
    </row>
    <row r="110" spans="2:14" x14ac:dyDescent="0.25">
      <c r="B110" s="79" t="s">
        <v>381</v>
      </c>
      <c r="C110" s="82" t="s">
        <v>687</v>
      </c>
      <c r="D110" s="82" t="s">
        <v>400</v>
      </c>
      <c r="E110" s="82" t="s">
        <v>688</v>
      </c>
      <c r="F110" s="82" t="s">
        <v>689</v>
      </c>
      <c r="G110" s="85" t="s">
        <v>689</v>
      </c>
      <c r="H110" s="85" t="s">
        <v>689</v>
      </c>
      <c r="I110" s="82" t="s">
        <v>690</v>
      </c>
      <c r="J110" s="82" t="s">
        <v>691</v>
      </c>
      <c r="K110" s="82" t="s">
        <v>385</v>
      </c>
      <c r="L110" s="88" t="s">
        <v>310</v>
      </c>
      <c r="M110" s="54">
        <v>46107</v>
      </c>
      <c r="N110" s="55">
        <v>46131</v>
      </c>
    </row>
    <row r="111" spans="2:14" x14ac:dyDescent="0.25">
      <c r="B111" s="79" t="s">
        <v>381</v>
      </c>
      <c r="C111" s="82" t="s">
        <v>687</v>
      </c>
      <c r="D111" s="82" t="s">
        <v>400</v>
      </c>
      <c r="E111" s="82" t="s">
        <v>688</v>
      </c>
      <c r="F111" s="82" t="s">
        <v>692</v>
      </c>
      <c r="G111" s="85" t="s">
        <v>692</v>
      </c>
      <c r="H111" s="85" t="s">
        <v>692</v>
      </c>
      <c r="I111" s="82" t="s">
        <v>693</v>
      </c>
      <c r="J111" s="82" t="s">
        <v>694</v>
      </c>
      <c r="K111" s="82" t="s">
        <v>385</v>
      </c>
      <c r="L111" s="88" t="s">
        <v>310</v>
      </c>
      <c r="M111" s="54">
        <v>46280</v>
      </c>
      <c r="N111" s="55">
        <v>46305</v>
      </c>
    </row>
    <row r="112" spans="2:14" x14ac:dyDescent="0.25">
      <c r="B112" s="79" t="s">
        <v>381</v>
      </c>
      <c r="C112" s="82" t="s">
        <v>687</v>
      </c>
      <c r="D112" s="82" t="s">
        <v>400</v>
      </c>
      <c r="E112" s="82" t="s">
        <v>688</v>
      </c>
      <c r="F112" s="82" t="s">
        <v>695</v>
      </c>
      <c r="G112" s="85" t="s">
        <v>695</v>
      </c>
      <c r="H112" s="85" t="s">
        <v>695</v>
      </c>
      <c r="I112" s="82" t="s">
        <v>696</v>
      </c>
      <c r="J112" s="82" t="s">
        <v>697</v>
      </c>
      <c r="K112" s="82" t="s">
        <v>385</v>
      </c>
      <c r="L112" s="88" t="s">
        <v>310</v>
      </c>
      <c r="M112" s="54">
        <v>46306</v>
      </c>
      <c r="N112" s="55">
        <v>46329</v>
      </c>
    </row>
    <row r="113" spans="2:14" x14ac:dyDescent="0.25">
      <c r="B113" s="79" t="s">
        <v>381</v>
      </c>
      <c r="C113" s="82" t="s">
        <v>687</v>
      </c>
      <c r="D113" s="82" t="s">
        <v>400</v>
      </c>
      <c r="E113" s="82" t="s">
        <v>688</v>
      </c>
      <c r="F113" s="82" t="s">
        <v>698</v>
      </c>
      <c r="G113" s="85" t="s">
        <v>698</v>
      </c>
      <c r="H113" s="85" t="s">
        <v>698</v>
      </c>
      <c r="I113" s="82" t="s">
        <v>699</v>
      </c>
      <c r="J113" s="82" t="s">
        <v>700</v>
      </c>
      <c r="K113" s="82" t="s">
        <v>385</v>
      </c>
      <c r="L113" s="88" t="s">
        <v>310</v>
      </c>
      <c r="M113" s="54">
        <v>46330</v>
      </c>
      <c r="N113" s="55">
        <v>46354</v>
      </c>
    </row>
    <row r="114" spans="2:14" x14ac:dyDescent="0.25">
      <c r="B114" s="79" t="s">
        <v>381</v>
      </c>
      <c r="C114" s="82" t="s">
        <v>687</v>
      </c>
      <c r="D114" s="82" t="s">
        <v>400</v>
      </c>
      <c r="E114" s="82" t="s">
        <v>688</v>
      </c>
      <c r="F114" s="82" t="s">
        <v>701</v>
      </c>
      <c r="G114" s="85" t="s">
        <v>701</v>
      </c>
      <c r="H114" s="85" t="s">
        <v>701</v>
      </c>
      <c r="I114" s="82" t="s">
        <v>702</v>
      </c>
      <c r="J114" s="82" t="s">
        <v>703</v>
      </c>
      <c r="K114" s="82" t="s">
        <v>385</v>
      </c>
      <c r="L114" s="88" t="s">
        <v>310</v>
      </c>
      <c r="M114" s="54">
        <v>46355</v>
      </c>
      <c r="N114" s="55">
        <v>46378</v>
      </c>
    </row>
    <row r="115" spans="2:14" x14ac:dyDescent="0.25">
      <c r="B115" s="79" t="s">
        <v>381</v>
      </c>
      <c r="C115" s="82" t="s">
        <v>687</v>
      </c>
      <c r="D115" s="82" t="s">
        <v>400</v>
      </c>
      <c r="E115" s="82" t="s">
        <v>704</v>
      </c>
      <c r="F115" s="82" t="s">
        <v>689</v>
      </c>
      <c r="G115" s="85" t="s">
        <v>689</v>
      </c>
      <c r="H115" s="85" t="s">
        <v>689</v>
      </c>
      <c r="I115" s="82" t="s">
        <v>705</v>
      </c>
      <c r="J115" s="82" t="s">
        <v>706</v>
      </c>
      <c r="K115" s="82" t="s">
        <v>385</v>
      </c>
      <c r="L115" s="88" t="s">
        <v>310</v>
      </c>
      <c r="M115" s="54">
        <v>46132</v>
      </c>
      <c r="N115" s="55">
        <v>46155</v>
      </c>
    </row>
    <row r="116" spans="2:14" x14ac:dyDescent="0.25">
      <c r="B116" s="79" t="s">
        <v>381</v>
      </c>
      <c r="C116" s="82" t="s">
        <v>687</v>
      </c>
      <c r="D116" s="82" t="s">
        <v>400</v>
      </c>
      <c r="E116" s="82" t="s">
        <v>704</v>
      </c>
      <c r="F116" s="82" t="s">
        <v>692</v>
      </c>
      <c r="G116" s="85" t="s">
        <v>692</v>
      </c>
      <c r="H116" s="85" t="s">
        <v>692</v>
      </c>
      <c r="I116" s="82" t="s">
        <v>707</v>
      </c>
      <c r="J116" s="82" t="s">
        <v>708</v>
      </c>
      <c r="K116" s="82" t="s">
        <v>385</v>
      </c>
      <c r="L116" s="88" t="s">
        <v>309</v>
      </c>
      <c r="M116" s="54">
        <v>46330</v>
      </c>
      <c r="N116" s="55">
        <v>46352</v>
      </c>
    </row>
    <row r="117" spans="2:14" x14ac:dyDescent="0.25">
      <c r="B117" s="79" t="s">
        <v>381</v>
      </c>
      <c r="C117" s="82" t="s">
        <v>687</v>
      </c>
      <c r="D117" s="82" t="s">
        <v>400</v>
      </c>
      <c r="E117" s="82" t="s">
        <v>704</v>
      </c>
      <c r="F117" s="82" t="s">
        <v>695</v>
      </c>
      <c r="G117" s="85" t="s">
        <v>695</v>
      </c>
      <c r="H117" s="85" t="s">
        <v>695</v>
      </c>
      <c r="I117" s="82" t="s">
        <v>709</v>
      </c>
      <c r="J117" s="82" t="s">
        <v>710</v>
      </c>
      <c r="K117" s="82" t="s">
        <v>385</v>
      </c>
      <c r="L117" s="88" t="s">
        <v>310</v>
      </c>
      <c r="M117" s="54">
        <v>46354</v>
      </c>
      <c r="N117" s="55">
        <v>46377</v>
      </c>
    </row>
    <row r="118" spans="2:14" x14ac:dyDescent="0.25">
      <c r="B118" s="79" t="s">
        <v>381</v>
      </c>
      <c r="C118" s="82" t="s">
        <v>687</v>
      </c>
      <c r="D118" s="82" t="s">
        <v>400</v>
      </c>
      <c r="E118" s="82" t="s">
        <v>704</v>
      </c>
      <c r="F118" s="82" t="s">
        <v>698</v>
      </c>
      <c r="G118" s="85" t="s">
        <v>698</v>
      </c>
      <c r="H118" s="85" t="s">
        <v>698</v>
      </c>
      <c r="I118" s="82" t="s">
        <v>711</v>
      </c>
      <c r="J118" s="82" t="s">
        <v>712</v>
      </c>
      <c r="K118" s="82" t="s">
        <v>385</v>
      </c>
      <c r="L118" s="88" t="s">
        <v>310</v>
      </c>
      <c r="M118" s="54">
        <v>46379</v>
      </c>
      <c r="N118" s="55">
        <v>46403</v>
      </c>
    </row>
    <row r="119" spans="2:14" x14ac:dyDescent="0.25">
      <c r="B119" s="79" t="s">
        <v>381</v>
      </c>
      <c r="C119" s="82" t="s">
        <v>687</v>
      </c>
      <c r="D119" s="82" t="s">
        <v>400</v>
      </c>
      <c r="E119" s="82" t="s">
        <v>704</v>
      </c>
      <c r="F119" s="82" t="s">
        <v>701</v>
      </c>
      <c r="G119" s="85" t="s">
        <v>701</v>
      </c>
      <c r="H119" s="85" t="s">
        <v>701</v>
      </c>
      <c r="I119" s="82" t="s">
        <v>713</v>
      </c>
      <c r="J119" s="82" t="s">
        <v>714</v>
      </c>
      <c r="K119" s="82" t="s">
        <v>385</v>
      </c>
      <c r="L119" s="88" t="s">
        <v>310</v>
      </c>
      <c r="M119" s="54">
        <v>46404</v>
      </c>
      <c r="N119" s="55">
        <v>46427</v>
      </c>
    </row>
    <row r="120" spans="2:14" x14ac:dyDescent="0.25">
      <c r="B120" s="79" t="s">
        <v>381</v>
      </c>
      <c r="C120" s="82" t="s">
        <v>687</v>
      </c>
      <c r="D120" s="82" t="s">
        <v>400</v>
      </c>
      <c r="E120" s="82" t="s">
        <v>715</v>
      </c>
      <c r="F120" s="82" t="s">
        <v>689</v>
      </c>
      <c r="G120" s="85" t="s">
        <v>689</v>
      </c>
      <c r="H120" s="85" t="s">
        <v>689</v>
      </c>
      <c r="I120" s="82" t="s">
        <v>716</v>
      </c>
      <c r="J120" s="82" t="s">
        <v>717</v>
      </c>
      <c r="K120" s="82" t="s">
        <v>385</v>
      </c>
      <c r="L120" s="88" t="s">
        <v>310</v>
      </c>
      <c r="M120" s="54">
        <v>46156</v>
      </c>
      <c r="N120" s="55">
        <v>46183</v>
      </c>
    </row>
    <row r="121" spans="2:14" x14ac:dyDescent="0.25">
      <c r="B121" s="79" t="s">
        <v>381</v>
      </c>
      <c r="C121" s="82" t="s">
        <v>687</v>
      </c>
      <c r="D121" s="82" t="s">
        <v>400</v>
      </c>
      <c r="E121" s="82" t="s">
        <v>715</v>
      </c>
      <c r="F121" s="82" t="s">
        <v>692</v>
      </c>
      <c r="G121" s="85" t="s">
        <v>692</v>
      </c>
      <c r="H121" s="85" t="s">
        <v>692</v>
      </c>
      <c r="I121" s="82" t="s">
        <v>718</v>
      </c>
      <c r="J121" s="82" t="s">
        <v>719</v>
      </c>
      <c r="K121" s="82" t="s">
        <v>385</v>
      </c>
      <c r="L121" s="88" t="s">
        <v>317</v>
      </c>
      <c r="M121" s="54">
        <v>46354</v>
      </c>
      <c r="N121" s="55">
        <v>46385</v>
      </c>
    </row>
    <row r="122" spans="2:14" x14ac:dyDescent="0.25">
      <c r="B122" s="79" t="s">
        <v>381</v>
      </c>
      <c r="C122" s="82" t="s">
        <v>687</v>
      </c>
      <c r="D122" s="82" t="s">
        <v>400</v>
      </c>
      <c r="E122" s="82" t="s">
        <v>715</v>
      </c>
      <c r="F122" s="82" t="s">
        <v>695</v>
      </c>
      <c r="G122" s="85" t="s">
        <v>695</v>
      </c>
      <c r="H122" s="85" t="s">
        <v>695</v>
      </c>
      <c r="I122" s="82" t="s">
        <v>720</v>
      </c>
      <c r="J122" s="82" t="s">
        <v>721</v>
      </c>
      <c r="K122" s="82" t="s">
        <v>385</v>
      </c>
      <c r="L122" s="88" t="s">
        <v>310</v>
      </c>
      <c r="M122" s="54">
        <v>46386</v>
      </c>
      <c r="N122" s="55">
        <v>46410</v>
      </c>
    </row>
    <row r="123" spans="2:14" x14ac:dyDescent="0.25">
      <c r="B123" s="79" t="s">
        <v>381</v>
      </c>
      <c r="C123" s="82" t="s">
        <v>687</v>
      </c>
      <c r="D123" s="82" t="s">
        <v>400</v>
      </c>
      <c r="E123" s="82" t="s">
        <v>715</v>
      </c>
      <c r="F123" s="82" t="s">
        <v>698</v>
      </c>
      <c r="G123" s="85" t="s">
        <v>698</v>
      </c>
      <c r="H123" s="85" t="s">
        <v>698</v>
      </c>
      <c r="I123" s="82" t="s">
        <v>722</v>
      </c>
      <c r="J123" s="82" t="s">
        <v>723</v>
      </c>
      <c r="K123" s="82" t="s">
        <v>385</v>
      </c>
      <c r="L123" s="88" t="s">
        <v>310</v>
      </c>
      <c r="M123" s="54">
        <v>46411</v>
      </c>
      <c r="N123" s="55">
        <v>46434</v>
      </c>
    </row>
    <row r="124" spans="2:14" x14ac:dyDescent="0.25">
      <c r="B124" s="79" t="s">
        <v>381</v>
      </c>
      <c r="C124" s="82" t="s">
        <v>687</v>
      </c>
      <c r="D124" s="82" t="s">
        <v>400</v>
      </c>
      <c r="E124" s="82" t="s">
        <v>715</v>
      </c>
      <c r="F124" s="82" t="s">
        <v>701</v>
      </c>
      <c r="G124" s="85" t="s">
        <v>701</v>
      </c>
      <c r="H124" s="85" t="s">
        <v>701</v>
      </c>
      <c r="I124" s="82" t="s">
        <v>724</v>
      </c>
      <c r="J124" s="82" t="s">
        <v>725</v>
      </c>
      <c r="K124" s="82" t="s">
        <v>385</v>
      </c>
      <c r="L124" s="88" t="s">
        <v>310</v>
      </c>
      <c r="M124" s="54">
        <v>46435</v>
      </c>
      <c r="N124" s="55">
        <v>46462</v>
      </c>
    </row>
    <row r="125" spans="2:14" x14ac:dyDescent="0.25">
      <c r="B125" s="79" t="s">
        <v>381</v>
      </c>
      <c r="C125" s="82" t="s">
        <v>687</v>
      </c>
      <c r="D125" s="82" t="s">
        <v>400</v>
      </c>
      <c r="E125" s="82" t="s">
        <v>726</v>
      </c>
      <c r="F125" s="82" t="s">
        <v>689</v>
      </c>
      <c r="G125" s="85" t="s">
        <v>689</v>
      </c>
      <c r="H125" s="85" t="s">
        <v>689</v>
      </c>
      <c r="I125" s="82" t="s">
        <v>727</v>
      </c>
      <c r="J125" s="82" t="s">
        <v>728</v>
      </c>
      <c r="K125" s="82" t="s">
        <v>385</v>
      </c>
      <c r="L125" s="88" t="s">
        <v>310</v>
      </c>
      <c r="M125" s="54">
        <v>46184</v>
      </c>
      <c r="N125" s="55">
        <v>46208</v>
      </c>
    </row>
    <row r="126" spans="2:14" x14ac:dyDescent="0.25">
      <c r="B126" s="79" t="s">
        <v>381</v>
      </c>
      <c r="C126" s="82" t="s">
        <v>687</v>
      </c>
      <c r="D126" s="82" t="s">
        <v>400</v>
      </c>
      <c r="E126" s="82" t="s">
        <v>726</v>
      </c>
      <c r="F126" s="82" t="s">
        <v>692</v>
      </c>
      <c r="G126" s="85" t="s">
        <v>692</v>
      </c>
      <c r="H126" s="85" t="s">
        <v>692</v>
      </c>
      <c r="I126" s="82" t="s">
        <v>729</v>
      </c>
      <c r="J126" s="82" t="s">
        <v>730</v>
      </c>
      <c r="K126" s="82" t="s">
        <v>385</v>
      </c>
      <c r="L126" s="88" t="s">
        <v>317</v>
      </c>
      <c r="M126" s="54">
        <v>46386</v>
      </c>
      <c r="N126" s="55">
        <v>46418</v>
      </c>
    </row>
    <row r="127" spans="2:14" x14ac:dyDescent="0.25">
      <c r="B127" s="79" t="s">
        <v>381</v>
      </c>
      <c r="C127" s="82" t="s">
        <v>687</v>
      </c>
      <c r="D127" s="82" t="s">
        <v>400</v>
      </c>
      <c r="E127" s="82" t="s">
        <v>726</v>
      </c>
      <c r="F127" s="82" t="s">
        <v>695</v>
      </c>
      <c r="G127" s="85" t="s">
        <v>695</v>
      </c>
      <c r="H127" s="85" t="s">
        <v>695</v>
      </c>
      <c r="I127" s="82" t="s">
        <v>731</v>
      </c>
      <c r="J127" s="82" t="s">
        <v>732</v>
      </c>
      <c r="K127" s="82" t="s">
        <v>385</v>
      </c>
      <c r="L127" s="88" t="s">
        <v>310</v>
      </c>
      <c r="M127" s="54">
        <v>46419</v>
      </c>
      <c r="N127" s="55">
        <v>46443</v>
      </c>
    </row>
    <row r="128" spans="2:14" x14ac:dyDescent="0.25">
      <c r="B128" s="79" t="s">
        <v>381</v>
      </c>
      <c r="C128" s="82" t="s">
        <v>687</v>
      </c>
      <c r="D128" s="82" t="s">
        <v>400</v>
      </c>
      <c r="E128" s="82" t="s">
        <v>726</v>
      </c>
      <c r="F128" s="82" t="s">
        <v>698</v>
      </c>
      <c r="G128" s="85" t="s">
        <v>698</v>
      </c>
      <c r="H128" s="85" t="s">
        <v>698</v>
      </c>
      <c r="I128" s="82" t="s">
        <v>733</v>
      </c>
      <c r="J128" s="82" t="s">
        <v>734</v>
      </c>
      <c r="K128" s="82" t="s">
        <v>385</v>
      </c>
      <c r="L128" s="88" t="s">
        <v>310</v>
      </c>
      <c r="M128" s="54">
        <v>46445</v>
      </c>
      <c r="N128" s="55">
        <v>46470</v>
      </c>
    </row>
    <row r="129" spans="2:14" x14ac:dyDescent="0.25">
      <c r="B129" s="79" t="s">
        <v>381</v>
      </c>
      <c r="C129" s="82" t="s">
        <v>687</v>
      </c>
      <c r="D129" s="82" t="s">
        <v>400</v>
      </c>
      <c r="E129" s="82" t="s">
        <v>726</v>
      </c>
      <c r="F129" s="82" t="s">
        <v>701</v>
      </c>
      <c r="G129" s="85" t="s">
        <v>701</v>
      </c>
      <c r="H129" s="85" t="s">
        <v>701</v>
      </c>
      <c r="I129" s="82" t="s">
        <v>735</v>
      </c>
      <c r="J129" s="82" t="s">
        <v>736</v>
      </c>
      <c r="K129" s="82" t="s">
        <v>385</v>
      </c>
      <c r="L129" s="88" t="s">
        <v>310</v>
      </c>
      <c r="M129" s="54">
        <v>46471</v>
      </c>
      <c r="N129" s="55">
        <v>46495</v>
      </c>
    </row>
    <row r="130" spans="2:14" x14ac:dyDescent="0.25">
      <c r="B130" s="79" t="s">
        <v>381</v>
      </c>
      <c r="C130" s="82" t="s">
        <v>687</v>
      </c>
      <c r="D130" s="82" t="s">
        <v>400</v>
      </c>
      <c r="E130" s="82" t="s">
        <v>737</v>
      </c>
      <c r="F130" s="82" t="s">
        <v>689</v>
      </c>
      <c r="G130" s="85" t="s">
        <v>689</v>
      </c>
      <c r="H130" s="85" t="s">
        <v>689</v>
      </c>
      <c r="I130" s="82" t="s">
        <v>738</v>
      </c>
      <c r="J130" s="82" t="s">
        <v>739</v>
      </c>
      <c r="K130" s="82" t="s">
        <v>385</v>
      </c>
      <c r="L130" s="88" t="s">
        <v>310</v>
      </c>
      <c r="M130" s="54">
        <v>46209</v>
      </c>
      <c r="N130" s="55">
        <v>46232</v>
      </c>
    </row>
    <row r="131" spans="2:14" x14ac:dyDescent="0.25">
      <c r="B131" s="79" t="s">
        <v>381</v>
      </c>
      <c r="C131" s="82" t="s">
        <v>687</v>
      </c>
      <c r="D131" s="82" t="s">
        <v>400</v>
      </c>
      <c r="E131" s="82" t="s">
        <v>737</v>
      </c>
      <c r="F131" s="82" t="s">
        <v>692</v>
      </c>
      <c r="G131" s="85" t="s">
        <v>692</v>
      </c>
      <c r="H131" s="85" t="s">
        <v>692</v>
      </c>
      <c r="I131" s="82" t="s">
        <v>740</v>
      </c>
      <c r="J131" s="82" t="s">
        <v>741</v>
      </c>
      <c r="K131" s="82" t="s">
        <v>385</v>
      </c>
      <c r="L131" s="88" t="s">
        <v>309</v>
      </c>
      <c r="M131" s="54">
        <v>46419</v>
      </c>
      <c r="N131" s="55">
        <v>46442</v>
      </c>
    </row>
    <row r="132" spans="2:14" x14ac:dyDescent="0.25">
      <c r="B132" s="79" t="s">
        <v>381</v>
      </c>
      <c r="C132" s="82" t="s">
        <v>687</v>
      </c>
      <c r="D132" s="82" t="s">
        <v>400</v>
      </c>
      <c r="E132" s="82" t="s">
        <v>737</v>
      </c>
      <c r="F132" s="82" t="s">
        <v>695</v>
      </c>
      <c r="G132" s="85" t="s">
        <v>695</v>
      </c>
      <c r="H132" s="85" t="s">
        <v>695</v>
      </c>
      <c r="I132" s="82" t="s">
        <v>742</v>
      </c>
      <c r="J132" s="82" t="s">
        <v>743</v>
      </c>
      <c r="K132" s="82" t="s">
        <v>385</v>
      </c>
      <c r="L132" s="88" t="s">
        <v>310</v>
      </c>
      <c r="M132" s="54">
        <v>46445</v>
      </c>
      <c r="N132" s="55">
        <v>46470</v>
      </c>
    </row>
    <row r="133" spans="2:14" x14ac:dyDescent="0.25">
      <c r="B133" s="79" t="s">
        <v>381</v>
      </c>
      <c r="C133" s="82" t="s">
        <v>687</v>
      </c>
      <c r="D133" s="82" t="s">
        <v>400</v>
      </c>
      <c r="E133" s="82" t="s">
        <v>737</v>
      </c>
      <c r="F133" s="82" t="s">
        <v>698</v>
      </c>
      <c r="G133" s="85" t="s">
        <v>698</v>
      </c>
      <c r="H133" s="85" t="s">
        <v>698</v>
      </c>
      <c r="I133" s="82" t="s">
        <v>744</v>
      </c>
      <c r="J133" s="82" t="s">
        <v>745</v>
      </c>
      <c r="K133" s="82" t="s">
        <v>385</v>
      </c>
      <c r="L133" s="88" t="s">
        <v>310</v>
      </c>
      <c r="M133" s="54">
        <v>46471</v>
      </c>
      <c r="N133" s="55">
        <v>46495</v>
      </c>
    </row>
    <row r="134" spans="2:14" x14ac:dyDescent="0.25">
      <c r="B134" s="79" t="s">
        <v>381</v>
      </c>
      <c r="C134" s="82" t="s">
        <v>687</v>
      </c>
      <c r="D134" s="82" t="s">
        <v>400</v>
      </c>
      <c r="E134" s="82" t="s">
        <v>737</v>
      </c>
      <c r="F134" s="82" t="s">
        <v>701</v>
      </c>
      <c r="G134" s="85" t="s">
        <v>701</v>
      </c>
      <c r="H134" s="85" t="s">
        <v>701</v>
      </c>
      <c r="I134" s="82" t="s">
        <v>746</v>
      </c>
      <c r="J134" s="82" t="s">
        <v>747</v>
      </c>
      <c r="K134" s="82" t="s">
        <v>385</v>
      </c>
      <c r="L134" s="88" t="s">
        <v>310</v>
      </c>
      <c r="M134" s="54">
        <v>46496</v>
      </c>
      <c r="N134" s="55">
        <v>46519</v>
      </c>
    </row>
    <row r="135" spans="2:14" x14ac:dyDescent="0.25">
      <c r="B135" s="79" t="s">
        <v>381</v>
      </c>
      <c r="C135" s="82" t="s">
        <v>687</v>
      </c>
      <c r="D135" s="82" t="s">
        <v>400</v>
      </c>
      <c r="E135" s="82" t="s">
        <v>748</v>
      </c>
      <c r="F135" s="82" t="s">
        <v>689</v>
      </c>
      <c r="G135" s="85" t="s">
        <v>689</v>
      </c>
      <c r="H135" s="85" t="s">
        <v>689</v>
      </c>
      <c r="I135" s="82" t="s">
        <v>749</v>
      </c>
      <c r="J135" s="82" t="s">
        <v>750</v>
      </c>
      <c r="K135" s="82" t="s">
        <v>385</v>
      </c>
      <c r="L135" s="88" t="s">
        <v>310</v>
      </c>
      <c r="M135" s="54">
        <v>46233</v>
      </c>
      <c r="N135" s="55">
        <v>46257</v>
      </c>
    </row>
    <row r="136" spans="2:14" x14ac:dyDescent="0.25">
      <c r="B136" s="79" t="s">
        <v>381</v>
      </c>
      <c r="C136" s="82" t="s">
        <v>687</v>
      </c>
      <c r="D136" s="82" t="s">
        <v>400</v>
      </c>
      <c r="E136" s="82" t="s">
        <v>748</v>
      </c>
      <c r="F136" s="82" t="s">
        <v>692</v>
      </c>
      <c r="G136" s="85" t="s">
        <v>692</v>
      </c>
      <c r="H136" s="85" t="s">
        <v>692</v>
      </c>
      <c r="I136" s="82" t="s">
        <v>751</v>
      </c>
      <c r="J136" s="82" t="s">
        <v>752</v>
      </c>
      <c r="K136" s="82" t="s">
        <v>385</v>
      </c>
      <c r="L136" s="88" t="s">
        <v>309</v>
      </c>
      <c r="M136" s="54">
        <v>46443</v>
      </c>
      <c r="N136" s="55">
        <v>46468</v>
      </c>
    </row>
    <row r="137" spans="2:14" x14ac:dyDescent="0.25">
      <c r="B137" s="79" t="s">
        <v>381</v>
      </c>
      <c r="C137" s="82" t="s">
        <v>687</v>
      </c>
      <c r="D137" s="82" t="s">
        <v>400</v>
      </c>
      <c r="E137" s="82" t="s">
        <v>748</v>
      </c>
      <c r="F137" s="82" t="s">
        <v>695</v>
      </c>
      <c r="G137" s="85" t="s">
        <v>695</v>
      </c>
      <c r="H137" s="85" t="s">
        <v>695</v>
      </c>
      <c r="I137" s="82" t="s">
        <v>753</v>
      </c>
      <c r="J137" s="82" t="s">
        <v>754</v>
      </c>
      <c r="K137" s="82" t="s">
        <v>385</v>
      </c>
      <c r="L137" s="88" t="s">
        <v>310</v>
      </c>
      <c r="M137" s="54">
        <v>46469</v>
      </c>
      <c r="N137" s="55">
        <v>46492</v>
      </c>
    </row>
    <row r="138" spans="2:14" x14ac:dyDescent="0.25">
      <c r="B138" s="79" t="s">
        <v>381</v>
      </c>
      <c r="C138" s="82" t="s">
        <v>687</v>
      </c>
      <c r="D138" s="82" t="s">
        <v>400</v>
      </c>
      <c r="E138" s="82" t="s">
        <v>748</v>
      </c>
      <c r="F138" s="82" t="s">
        <v>698</v>
      </c>
      <c r="G138" s="85" t="s">
        <v>698</v>
      </c>
      <c r="H138" s="85" t="s">
        <v>698</v>
      </c>
      <c r="I138" s="82" t="s">
        <v>755</v>
      </c>
      <c r="J138" s="82" t="s">
        <v>756</v>
      </c>
      <c r="K138" s="82" t="s">
        <v>385</v>
      </c>
      <c r="L138" s="88" t="s">
        <v>310</v>
      </c>
      <c r="M138" s="54">
        <v>46496</v>
      </c>
      <c r="N138" s="55">
        <v>46519</v>
      </c>
    </row>
    <row r="139" spans="2:14" x14ac:dyDescent="0.25">
      <c r="B139" s="79" t="s">
        <v>381</v>
      </c>
      <c r="C139" s="82" t="s">
        <v>687</v>
      </c>
      <c r="D139" s="82" t="s">
        <v>400</v>
      </c>
      <c r="E139" s="82" t="s">
        <v>748</v>
      </c>
      <c r="F139" s="82" t="s">
        <v>701</v>
      </c>
      <c r="G139" s="85" t="s">
        <v>701</v>
      </c>
      <c r="H139" s="85" t="s">
        <v>701</v>
      </c>
      <c r="I139" s="82" t="s">
        <v>757</v>
      </c>
      <c r="J139" s="82" t="s">
        <v>758</v>
      </c>
      <c r="K139" s="82" t="s">
        <v>385</v>
      </c>
      <c r="L139" s="88" t="s">
        <v>310</v>
      </c>
      <c r="M139" s="54">
        <v>46520</v>
      </c>
      <c r="N139" s="55">
        <v>46548</v>
      </c>
    </row>
    <row r="140" spans="2:14" x14ac:dyDescent="0.25">
      <c r="B140" s="79" t="s">
        <v>381</v>
      </c>
      <c r="C140" s="82" t="s">
        <v>687</v>
      </c>
      <c r="D140" s="82" t="s">
        <v>400</v>
      </c>
      <c r="E140" s="82" t="s">
        <v>759</v>
      </c>
      <c r="F140" s="82" t="s">
        <v>689</v>
      </c>
      <c r="G140" s="85" t="s">
        <v>689</v>
      </c>
      <c r="H140" s="85" t="s">
        <v>689</v>
      </c>
      <c r="I140" s="82" t="s">
        <v>760</v>
      </c>
      <c r="J140" s="82" t="s">
        <v>761</v>
      </c>
      <c r="K140" s="82" t="s">
        <v>385</v>
      </c>
      <c r="L140" s="88" t="s">
        <v>310</v>
      </c>
      <c r="M140" s="54">
        <v>46258</v>
      </c>
      <c r="N140" s="55">
        <v>46281</v>
      </c>
    </row>
    <row r="141" spans="2:14" x14ac:dyDescent="0.25">
      <c r="B141" s="79" t="s">
        <v>381</v>
      </c>
      <c r="C141" s="82" t="s">
        <v>687</v>
      </c>
      <c r="D141" s="82" t="s">
        <v>400</v>
      </c>
      <c r="E141" s="82" t="s">
        <v>759</v>
      </c>
      <c r="F141" s="82" t="s">
        <v>692</v>
      </c>
      <c r="G141" s="85" t="s">
        <v>692</v>
      </c>
      <c r="H141" s="85" t="s">
        <v>692</v>
      </c>
      <c r="I141" s="82" t="s">
        <v>762</v>
      </c>
      <c r="J141" s="82" t="s">
        <v>763</v>
      </c>
      <c r="K141" s="82" t="s">
        <v>385</v>
      </c>
      <c r="L141" s="88" t="s">
        <v>309</v>
      </c>
      <c r="M141" s="54">
        <v>46469</v>
      </c>
      <c r="N141" s="55">
        <v>46491</v>
      </c>
    </row>
    <row r="142" spans="2:14" x14ac:dyDescent="0.25">
      <c r="B142" s="79" t="s">
        <v>381</v>
      </c>
      <c r="C142" s="82" t="s">
        <v>687</v>
      </c>
      <c r="D142" s="82" t="s">
        <v>400</v>
      </c>
      <c r="E142" s="82" t="s">
        <v>759</v>
      </c>
      <c r="F142" s="82" t="s">
        <v>695</v>
      </c>
      <c r="G142" s="85" t="s">
        <v>695</v>
      </c>
      <c r="H142" s="85" t="s">
        <v>695</v>
      </c>
      <c r="I142" s="82" t="s">
        <v>764</v>
      </c>
      <c r="J142" s="82" t="s">
        <v>765</v>
      </c>
      <c r="K142" s="82" t="s">
        <v>385</v>
      </c>
      <c r="L142" s="88" t="s">
        <v>310</v>
      </c>
      <c r="M142" s="54">
        <v>46494</v>
      </c>
      <c r="N142" s="55">
        <v>46517</v>
      </c>
    </row>
    <row r="143" spans="2:14" x14ac:dyDescent="0.25">
      <c r="B143" s="79" t="s">
        <v>381</v>
      </c>
      <c r="C143" s="82" t="s">
        <v>687</v>
      </c>
      <c r="D143" s="82" t="s">
        <v>400</v>
      </c>
      <c r="E143" s="82" t="s">
        <v>759</v>
      </c>
      <c r="F143" s="82" t="s">
        <v>698</v>
      </c>
      <c r="G143" s="85" t="s">
        <v>698</v>
      </c>
      <c r="H143" s="85" t="s">
        <v>698</v>
      </c>
      <c r="I143" s="82" t="s">
        <v>766</v>
      </c>
      <c r="J143" s="82" t="s">
        <v>767</v>
      </c>
      <c r="K143" s="82" t="s">
        <v>385</v>
      </c>
      <c r="L143" s="88" t="s">
        <v>310</v>
      </c>
      <c r="M143" s="54">
        <v>46520</v>
      </c>
      <c r="N143" s="55">
        <v>46548</v>
      </c>
    </row>
    <row r="144" spans="2:14" x14ac:dyDescent="0.25">
      <c r="B144" s="79" t="s">
        <v>381</v>
      </c>
      <c r="C144" s="82" t="s">
        <v>687</v>
      </c>
      <c r="D144" s="82" t="s">
        <v>400</v>
      </c>
      <c r="E144" s="82" t="s">
        <v>759</v>
      </c>
      <c r="F144" s="82" t="s">
        <v>701</v>
      </c>
      <c r="G144" s="85" t="s">
        <v>701</v>
      </c>
      <c r="H144" s="85" t="s">
        <v>701</v>
      </c>
      <c r="I144" s="82" t="s">
        <v>768</v>
      </c>
      <c r="J144" s="82" t="s">
        <v>769</v>
      </c>
      <c r="K144" s="82" t="s">
        <v>385</v>
      </c>
      <c r="L144" s="88" t="s">
        <v>310</v>
      </c>
      <c r="M144" s="54">
        <v>46550</v>
      </c>
      <c r="N144" s="55">
        <v>46573</v>
      </c>
    </row>
    <row r="145" spans="2:14" x14ac:dyDescent="0.25">
      <c r="B145" s="79" t="s">
        <v>381</v>
      </c>
      <c r="C145" s="82" t="s">
        <v>687</v>
      </c>
      <c r="D145" s="82" t="s">
        <v>400</v>
      </c>
      <c r="E145" s="82" t="s">
        <v>770</v>
      </c>
      <c r="F145" s="82" t="s">
        <v>689</v>
      </c>
      <c r="G145" s="85" t="s">
        <v>689</v>
      </c>
      <c r="H145" s="85" t="s">
        <v>689</v>
      </c>
      <c r="I145" s="82" t="s">
        <v>771</v>
      </c>
      <c r="J145" s="82" t="s">
        <v>772</v>
      </c>
      <c r="K145" s="82" t="s">
        <v>385</v>
      </c>
      <c r="L145" s="88" t="s">
        <v>310</v>
      </c>
      <c r="M145" s="54">
        <v>46282</v>
      </c>
      <c r="N145" s="55">
        <v>46307</v>
      </c>
    </row>
    <row r="146" spans="2:14" x14ac:dyDescent="0.25">
      <c r="B146" s="79" t="s">
        <v>381</v>
      </c>
      <c r="C146" s="82" t="s">
        <v>687</v>
      </c>
      <c r="D146" s="82" t="s">
        <v>400</v>
      </c>
      <c r="E146" s="82" t="s">
        <v>770</v>
      </c>
      <c r="F146" s="82" t="s">
        <v>692</v>
      </c>
      <c r="G146" s="85" t="s">
        <v>692</v>
      </c>
      <c r="H146" s="85" t="s">
        <v>692</v>
      </c>
      <c r="I146" s="82" t="s">
        <v>773</v>
      </c>
      <c r="J146" s="82" t="s">
        <v>774</v>
      </c>
      <c r="K146" s="82" t="s">
        <v>385</v>
      </c>
      <c r="L146" s="88" t="s">
        <v>309</v>
      </c>
      <c r="M146" s="54">
        <v>46492</v>
      </c>
      <c r="N146" s="55">
        <v>46515</v>
      </c>
    </row>
    <row r="147" spans="2:14" x14ac:dyDescent="0.25">
      <c r="B147" s="79" t="s">
        <v>381</v>
      </c>
      <c r="C147" s="82" t="s">
        <v>687</v>
      </c>
      <c r="D147" s="82" t="s">
        <v>400</v>
      </c>
      <c r="E147" s="82" t="s">
        <v>770</v>
      </c>
      <c r="F147" s="82" t="s">
        <v>695</v>
      </c>
      <c r="G147" s="85" t="s">
        <v>695</v>
      </c>
      <c r="H147" s="85" t="s">
        <v>695</v>
      </c>
      <c r="I147" s="82" t="s">
        <v>775</v>
      </c>
      <c r="J147" s="82" t="s">
        <v>776</v>
      </c>
      <c r="K147" s="82" t="s">
        <v>385</v>
      </c>
      <c r="L147" s="88" t="s">
        <v>310</v>
      </c>
      <c r="M147" s="54">
        <v>46518</v>
      </c>
      <c r="N147" s="55">
        <v>46546</v>
      </c>
    </row>
    <row r="148" spans="2:14" x14ac:dyDescent="0.25">
      <c r="B148" s="79" t="s">
        <v>381</v>
      </c>
      <c r="C148" s="82" t="s">
        <v>687</v>
      </c>
      <c r="D148" s="82" t="s">
        <v>400</v>
      </c>
      <c r="E148" s="82" t="s">
        <v>770</v>
      </c>
      <c r="F148" s="82" t="s">
        <v>698</v>
      </c>
      <c r="G148" s="85" t="s">
        <v>698</v>
      </c>
      <c r="H148" s="85" t="s">
        <v>698</v>
      </c>
      <c r="I148" s="82" t="s">
        <v>777</v>
      </c>
      <c r="J148" s="82" t="s">
        <v>778</v>
      </c>
      <c r="K148" s="82" t="s">
        <v>385</v>
      </c>
      <c r="L148" s="88" t="s">
        <v>310</v>
      </c>
      <c r="M148" s="54">
        <v>46550</v>
      </c>
      <c r="N148" s="55">
        <v>46573</v>
      </c>
    </row>
    <row r="149" spans="2:14" x14ac:dyDescent="0.25">
      <c r="B149" s="79" t="s">
        <v>381</v>
      </c>
      <c r="C149" s="82" t="s">
        <v>687</v>
      </c>
      <c r="D149" s="82" t="s">
        <v>400</v>
      </c>
      <c r="E149" s="82" t="s">
        <v>770</v>
      </c>
      <c r="F149" s="82" t="s">
        <v>701</v>
      </c>
      <c r="G149" s="85" t="s">
        <v>701</v>
      </c>
      <c r="H149" s="85" t="s">
        <v>701</v>
      </c>
      <c r="I149" s="82" t="s">
        <v>779</v>
      </c>
      <c r="J149" s="82" t="s">
        <v>780</v>
      </c>
      <c r="K149" s="82" t="s">
        <v>385</v>
      </c>
      <c r="L149" s="88" t="s">
        <v>310</v>
      </c>
      <c r="M149" s="54">
        <v>46574</v>
      </c>
      <c r="N149" s="55">
        <v>46597</v>
      </c>
    </row>
    <row r="150" spans="2:14" x14ac:dyDescent="0.25">
      <c r="B150" s="79" t="s">
        <v>381</v>
      </c>
      <c r="C150" s="82" t="s">
        <v>687</v>
      </c>
      <c r="D150" s="82" t="s">
        <v>400</v>
      </c>
      <c r="E150" s="82" t="s">
        <v>781</v>
      </c>
      <c r="F150" s="82" t="s">
        <v>689</v>
      </c>
      <c r="G150" s="85" t="s">
        <v>689</v>
      </c>
      <c r="H150" s="85" t="s">
        <v>689</v>
      </c>
      <c r="I150" s="82" t="s">
        <v>782</v>
      </c>
      <c r="J150" s="82" t="s">
        <v>783</v>
      </c>
      <c r="K150" s="82" t="s">
        <v>385</v>
      </c>
      <c r="L150" s="88" t="s">
        <v>310</v>
      </c>
      <c r="M150" s="54">
        <v>46376</v>
      </c>
      <c r="N150" s="55">
        <v>46399</v>
      </c>
    </row>
    <row r="151" spans="2:14" x14ac:dyDescent="0.25">
      <c r="B151" s="79" t="s">
        <v>381</v>
      </c>
      <c r="C151" s="82" t="s">
        <v>687</v>
      </c>
      <c r="D151" s="82" t="s">
        <v>400</v>
      </c>
      <c r="E151" s="82" t="s">
        <v>781</v>
      </c>
      <c r="F151" s="82" t="s">
        <v>692</v>
      </c>
      <c r="G151" s="85" t="s">
        <v>692</v>
      </c>
      <c r="H151" s="85" t="s">
        <v>692</v>
      </c>
      <c r="I151" s="82" t="s">
        <v>784</v>
      </c>
      <c r="J151" s="82" t="s">
        <v>785</v>
      </c>
      <c r="K151" s="82" t="s">
        <v>385</v>
      </c>
      <c r="L151" s="88" t="s">
        <v>309</v>
      </c>
      <c r="M151" s="54">
        <v>46530</v>
      </c>
      <c r="N151" s="55">
        <v>46552</v>
      </c>
    </row>
    <row r="152" spans="2:14" x14ac:dyDescent="0.25">
      <c r="B152" s="79" t="s">
        <v>381</v>
      </c>
      <c r="C152" s="82" t="s">
        <v>687</v>
      </c>
      <c r="D152" s="82" t="s">
        <v>400</v>
      </c>
      <c r="E152" s="82" t="s">
        <v>781</v>
      </c>
      <c r="F152" s="82" t="s">
        <v>695</v>
      </c>
      <c r="G152" s="85" t="s">
        <v>695</v>
      </c>
      <c r="H152" s="85" t="s">
        <v>695</v>
      </c>
      <c r="I152" s="82" t="s">
        <v>786</v>
      </c>
      <c r="J152" s="82" t="s">
        <v>787</v>
      </c>
      <c r="K152" s="82" t="s">
        <v>385</v>
      </c>
      <c r="L152" s="88" t="s">
        <v>317</v>
      </c>
      <c r="M152" s="54">
        <v>46553</v>
      </c>
      <c r="N152" s="55">
        <v>46585</v>
      </c>
    </row>
    <row r="153" spans="2:14" x14ac:dyDescent="0.25">
      <c r="B153" s="79" t="s">
        <v>381</v>
      </c>
      <c r="C153" s="82" t="s">
        <v>687</v>
      </c>
      <c r="D153" s="82" t="s">
        <v>400</v>
      </c>
      <c r="E153" s="82" t="s">
        <v>781</v>
      </c>
      <c r="F153" s="82" t="s">
        <v>698</v>
      </c>
      <c r="G153" s="85" t="s">
        <v>698</v>
      </c>
      <c r="H153" s="85" t="s">
        <v>698</v>
      </c>
      <c r="I153" s="82" t="s">
        <v>788</v>
      </c>
      <c r="J153" s="82" t="s">
        <v>789</v>
      </c>
      <c r="K153" s="82" t="s">
        <v>385</v>
      </c>
      <c r="L153" s="88" t="s">
        <v>317</v>
      </c>
      <c r="M153" s="54">
        <v>46586</v>
      </c>
      <c r="N153" s="55">
        <v>46617</v>
      </c>
    </row>
    <row r="154" spans="2:14" x14ac:dyDescent="0.25">
      <c r="B154" s="79" t="s">
        <v>381</v>
      </c>
      <c r="C154" s="82" t="s">
        <v>687</v>
      </c>
      <c r="D154" s="82" t="s">
        <v>400</v>
      </c>
      <c r="E154" s="82" t="s">
        <v>781</v>
      </c>
      <c r="F154" s="82" t="s">
        <v>701</v>
      </c>
      <c r="G154" s="85" t="s">
        <v>701</v>
      </c>
      <c r="H154" s="85" t="s">
        <v>701</v>
      </c>
      <c r="I154" s="82" t="s">
        <v>790</v>
      </c>
      <c r="J154" s="82" t="s">
        <v>791</v>
      </c>
      <c r="K154" s="82" t="s">
        <v>385</v>
      </c>
      <c r="L154" s="88" t="s">
        <v>317</v>
      </c>
      <c r="M154" s="54">
        <v>46599</v>
      </c>
      <c r="N154" s="55">
        <v>46630</v>
      </c>
    </row>
    <row r="155" spans="2:14" x14ac:dyDescent="0.25">
      <c r="B155" s="79" t="s">
        <v>381</v>
      </c>
      <c r="C155" s="82" t="s">
        <v>687</v>
      </c>
      <c r="D155" s="82" t="s">
        <v>400</v>
      </c>
      <c r="E155" s="82" t="s">
        <v>792</v>
      </c>
      <c r="F155" s="82" t="s">
        <v>689</v>
      </c>
      <c r="G155" s="85" t="s">
        <v>689</v>
      </c>
      <c r="H155" s="85" t="s">
        <v>689</v>
      </c>
      <c r="I155" s="82" t="s">
        <v>793</v>
      </c>
      <c r="J155" s="82" t="s">
        <v>794</v>
      </c>
      <c r="K155" s="82" t="s">
        <v>385</v>
      </c>
      <c r="L155" s="88" t="s">
        <v>310</v>
      </c>
      <c r="M155" s="54">
        <v>46406</v>
      </c>
      <c r="N155" s="55">
        <v>46429</v>
      </c>
    </row>
    <row r="156" spans="2:14" x14ac:dyDescent="0.25">
      <c r="B156" s="79" t="s">
        <v>381</v>
      </c>
      <c r="C156" s="82" t="s">
        <v>687</v>
      </c>
      <c r="D156" s="82" t="s">
        <v>400</v>
      </c>
      <c r="E156" s="82" t="s">
        <v>792</v>
      </c>
      <c r="F156" s="82" t="s">
        <v>692</v>
      </c>
      <c r="G156" s="85" t="s">
        <v>692</v>
      </c>
      <c r="H156" s="85" t="s">
        <v>692</v>
      </c>
      <c r="I156" s="82" t="s">
        <v>795</v>
      </c>
      <c r="J156" s="82" t="s">
        <v>796</v>
      </c>
      <c r="K156" s="82" t="s">
        <v>385</v>
      </c>
      <c r="L156" s="88" t="s">
        <v>310</v>
      </c>
      <c r="M156" s="54">
        <v>46530</v>
      </c>
      <c r="N156" s="55">
        <v>46553</v>
      </c>
    </row>
    <row r="157" spans="2:14" x14ac:dyDescent="0.25">
      <c r="B157" s="79" t="s">
        <v>381</v>
      </c>
      <c r="C157" s="82" t="s">
        <v>687</v>
      </c>
      <c r="D157" s="82" t="s">
        <v>400</v>
      </c>
      <c r="E157" s="82" t="s">
        <v>792</v>
      </c>
      <c r="F157" s="82" t="s">
        <v>695</v>
      </c>
      <c r="G157" s="85" t="s">
        <v>695</v>
      </c>
      <c r="H157" s="85" t="s">
        <v>695</v>
      </c>
      <c r="I157" s="82" t="s">
        <v>797</v>
      </c>
      <c r="J157" s="82" t="s">
        <v>798</v>
      </c>
      <c r="K157" s="82" t="s">
        <v>385</v>
      </c>
      <c r="L157" s="88" t="s">
        <v>310</v>
      </c>
      <c r="M157" s="54">
        <v>46586</v>
      </c>
      <c r="N157" s="55">
        <v>46609</v>
      </c>
    </row>
    <row r="158" spans="2:14" x14ac:dyDescent="0.25">
      <c r="B158" s="79" t="s">
        <v>381</v>
      </c>
      <c r="C158" s="82" t="s">
        <v>687</v>
      </c>
      <c r="D158" s="82" t="s">
        <v>400</v>
      </c>
      <c r="E158" s="82" t="s">
        <v>792</v>
      </c>
      <c r="F158" s="82" t="s">
        <v>698</v>
      </c>
      <c r="G158" s="85" t="s">
        <v>698</v>
      </c>
      <c r="H158" s="85" t="s">
        <v>698</v>
      </c>
      <c r="I158" s="82" t="s">
        <v>799</v>
      </c>
      <c r="J158" s="82" t="s">
        <v>800</v>
      </c>
      <c r="K158" s="82" t="s">
        <v>385</v>
      </c>
      <c r="L158" s="88" t="s">
        <v>310</v>
      </c>
      <c r="M158" s="54">
        <v>46618</v>
      </c>
      <c r="N158" s="55">
        <v>46642</v>
      </c>
    </row>
    <row r="159" spans="2:14" x14ac:dyDescent="0.25">
      <c r="B159" s="79" t="s">
        <v>381</v>
      </c>
      <c r="C159" s="82" t="s">
        <v>687</v>
      </c>
      <c r="D159" s="82" t="s">
        <v>400</v>
      </c>
      <c r="E159" s="82" t="s">
        <v>792</v>
      </c>
      <c r="F159" s="82" t="s">
        <v>701</v>
      </c>
      <c r="G159" s="85" t="s">
        <v>701</v>
      </c>
      <c r="H159" s="85" t="s">
        <v>701</v>
      </c>
      <c r="I159" s="82" t="s">
        <v>801</v>
      </c>
      <c r="J159" s="82" t="s">
        <v>802</v>
      </c>
      <c r="K159" s="82" t="s">
        <v>385</v>
      </c>
      <c r="L159" s="88" t="s">
        <v>310</v>
      </c>
      <c r="M159" s="54">
        <v>46631</v>
      </c>
      <c r="N159" s="55">
        <v>46656</v>
      </c>
    </row>
    <row r="160" spans="2:14" x14ac:dyDescent="0.25">
      <c r="B160" s="79" t="s">
        <v>381</v>
      </c>
      <c r="C160" s="82" t="s">
        <v>687</v>
      </c>
      <c r="D160" s="82" t="s">
        <v>400</v>
      </c>
      <c r="E160" s="82" t="s">
        <v>803</v>
      </c>
      <c r="F160" s="82" t="s">
        <v>689</v>
      </c>
      <c r="G160" s="85" t="s">
        <v>689</v>
      </c>
      <c r="H160" s="85" t="s">
        <v>689</v>
      </c>
      <c r="I160" s="82" t="s">
        <v>804</v>
      </c>
      <c r="J160" s="82" t="s">
        <v>805</v>
      </c>
      <c r="K160" s="82" t="s">
        <v>385</v>
      </c>
      <c r="L160" s="88" t="s">
        <v>310</v>
      </c>
      <c r="M160" s="54">
        <v>46408</v>
      </c>
      <c r="N160" s="55">
        <v>46432</v>
      </c>
    </row>
    <row r="161" spans="2:14" x14ac:dyDescent="0.25">
      <c r="B161" s="79" t="s">
        <v>381</v>
      </c>
      <c r="C161" s="82" t="s">
        <v>687</v>
      </c>
      <c r="D161" s="82" t="s">
        <v>400</v>
      </c>
      <c r="E161" s="82" t="s">
        <v>803</v>
      </c>
      <c r="F161" s="82" t="s">
        <v>692</v>
      </c>
      <c r="G161" s="85" t="s">
        <v>692</v>
      </c>
      <c r="H161" s="85" t="s">
        <v>692</v>
      </c>
      <c r="I161" s="82" t="s">
        <v>806</v>
      </c>
      <c r="J161" s="82" t="s">
        <v>807</v>
      </c>
      <c r="K161" s="82" t="s">
        <v>385</v>
      </c>
      <c r="L161" s="88" t="s">
        <v>310</v>
      </c>
      <c r="M161" s="54">
        <v>46568</v>
      </c>
      <c r="N161" s="55">
        <v>46592</v>
      </c>
    </row>
    <row r="162" spans="2:14" x14ac:dyDescent="0.25">
      <c r="B162" s="79" t="s">
        <v>381</v>
      </c>
      <c r="C162" s="82" t="s">
        <v>687</v>
      </c>
      <c r="D162" s="82" t="s">
        <v>400</v>
      </c>
      <c r="E162" s="82" t="s">
        <v>803</v>
      </c>
      <c r="F162" s="82" t="s">
        <v>695</v>
      </c>
      <c r="G162" s="85" t="s">
        <v>695</v>
      </c>
      <c r="H162" s="85" t="s">
        <v>695</v>
      </c>
      <c r="I162" s="82" t="s">
        <v>808</v>
      </c>
      <c r="J162" s="82" t="s">
        <v>809</v>
      </c>
      <c r="K162" s="82" t="s">
        <v>385</v>
      </c>
      <c r="L162" s="88" t="s">
        <v>310</v>
      </c>
      <c r="M162" s="54">
        <v>46610</v>
      </c>
      <c r="N162" s="55">
        <v>46634</v>
      </c>
    </row>
    <row r="163" spans="2:14" x14ac:dyDescent="0.25">
      <c r="B163" s="79" t="s">
        <v>381</v>
      </c>
      <c r="C163" s="82" t="s">
        <v>687</v>
      </c>
      <c r="D163" s="82" t="s">
        <v>400</v>
      </c>
      <c r="E163" s="82" t="s">
        <v>803</v>
      </c>
      <c r="F163" s="82" t="s">
        <v>698</v>
      </c>
      <c r="G163" s="85" t="s">
        <v>698</v>
      </c>
      <c r="H163" s="85" t="s">
        <v>698</v>
      </c>
      <c r="I163" s="82" t="s">
        <v>810</v>
      </c>
      <c r="J163" s="82" t="s">
        <v>811</v>
      </c>
      <c r="K163" s="82" t="s">
        <v>385</v>
      </c>
      <c r="L163" s="88" t="s">
        <v>310</v>
      </c>
      <c r="M163" s="54">
        <v>46643</v>
      </c>
      <c r="N163" s="55">
        <v>46667</v>
      </c>
    </row>
    <row r="164" spans="2:14" x14ac:dyDescent="0.25">
      <c r="B164" s="79" t="s">
        <v>381</v>
      </c>
      <c r="C164" s="82" t="s">
        <v>687</v>
      </c>
      <c r="D164" s="82" t="s">
        <v>400</v>
      </c>
      <c r="E164" s="82" t="s">
        <v>803</v>
      </c>
      <c r="F164" s="82" t="s">
        <v>701</v>
      </c>
      <c r="G164" s="85" t="s">
        <v>701</v>
      </c>
      <c r="H164" s="85" t="s">
        <v>701</v>
      </c>
      <c r="I164" s="82" t="s">
        <v>812</v>
      </c>
      <c r="J164" s="82" t="s">
        <v>813</v>
      </c>
      <c r="K164" s="82" t="s">
        <v>385</v>
      </c>
      <c r="L164" s="88" t="s">
        <v>310</v>
      </c>
      <c r="M164" s="54">
        <v>46669</v>
      </c>
      <c r="N164" s="55">
        <v>46692</v>
      </c>
    </row>
    <row r="165" spans="2:14" x14ac:dyDescent="0.25">
      <c r="B165" s="79" t="s">
        <v>381</v>
      </c>
      <c r="C165" s="82" t="s">
        <v>687</v>
      </c>
      <c r="D165" s="82" t="s">
        <v>400</v>
      </c>
      <c r="E165" s="82" t="s">
        <v>814</v>
      </c>
      <c r="F165" s="82" t="s">
        <v>689</v>
      </c>
      <c r="G165" s="85" t="s">
        <v>689</v>
      </c>
      <c r="H165" s="85" t="s">
        <v>689</v>
      </c>
      <c r="I165" s="82" t="s">
        <v>815</v>
      </c>
      <c r="J165" s="82" t="s">
        <v>816</v>
      </c>
      <c r="K165" s="82" t="s">
        <v>385</v>
      </c>
      <c r="L165" s="88" t="s">
        <v>310</v>
      </c>
      <c r="M165" s="54">
        <v>46499</v>
      </c>
      <c r="N165" s="55">
        <v>46527</v>
      </c>
    </row>
    <row r="166" spans="2:14" x14ac:dyDescent="0.25">
      <c r="B166" s="79" t="s">
        <v>381</v>
      </c>
      <c r="C166" s="82" t="s">
        <v>687</v>
      </c>
      <c r="D166" s="82" t="s">
        <v>400</v>
      </c>
      <c r="E166" s="82" t="s">
        <v>814</v>
      </c>
      <c r="F166" s="82" t="s">
        <v>692</v>
      </c>
      <c r="G166" s="85" t="s">
        <v>692</v>
      </c>
      <c r="H166" s="85" t="s">
        <v>692</v>
      </c>
      <c r="I166" s="82" t="s">
        <v>817</v>
      </c>
      <c r="J166" s="82" t="s">
        <v>818</v>
      </c>
      <c r="K166" s="82" t="s">
        <v>385</v>
      </c>
      <c r="L166" s="88" t="s">
        <v>310</v>
      </c>
      <c r="M166" s="54">
        <v>46593</v>
      </c>
      <c r="N166" s="55">
        <v>46616</v>
      </c>
    </row>
    <row r="167" spans="2:14" x14ac:dyDescent="0.25">
      <c r="B167" s="79" t="s">
        <v>381</v>
      </c>
      <c r="C167" s="82" t="s">
        <v>687</v>
      </c>
      <c r="D167" s="82" t="s">
        <v>400</v>
      </c>
      <c r="E167" s="82" t="s">
        <v>814</v>
      </c>
      <c r="F167" s="82" t="s">
        <v>695</v>
      </c>
      <c r="G167" s="85" t="s">
        <v>695</v>
      </c>
      <c r="H167" s="85" t="s">
        <v>695</v>
      </c>
      <c r="I167" s="82" t="s">
        <v>819</v>
      </c>
      <c r="J167" s="82" t="s">
        <v>820</v>
      </c>
      <c r="K167" s="82" t="s">
        <v>385</v>
      </c>
      <c r="L167" s="88" t="s">
        <v>310</v>
      </c>
      <c r="M167" s="54">
        <v>46624</v>
      </c>
      <c r="N167" s="55">
        <v>46648</v>
      </c>
    </row>
    <row r="168" spans="2:14" x14ac:dyDescent="0.25">
      <c r="B168" s="79" t="s">
        <v>381</v>
      </c>
      <c r="C168" s="82" t="s">
        <v>687</v>
      </c>
      <c r="D168" s="82" t="s">
        <v>400</v>
      </c>
      <c r="E168" s="82" t="s">
        <v>814</v>
      </c>
      <c r="F168" s="82" t="s">
        <v>698</v>
      </c>
      <c r="G168" s="85" t="s">
        <v>698</v>
      </c>
      <c r="H168" s="85" t="s">
        <v>698</v>
      </c>
      <c r="I168" s="82" t="s">
        <v>821</v>
      </c>
      <c r="J168" s="82" t="s">
        <v>822</v>
      </c>
      <c r="K168" s="82" t="s">
        <v>385</v>
      </c>
      <c r="L168" s="88" t="s">
        <v>310</v>
      </c>
      <c r="M168" s="54">
        <v>46669</v>
      </c>
      <c r="N168" s="55">
        <v>46692</v>
      </c>
    </row>
    <row r="169" spans="2:14" x14ac:dyDescent="0.25">
      <c r="B169" s="79" t="s">
        <v>381</v>
      </c>
      <c r="C169" s="82" t="s">
        <v>687</v>
      </c>
      <c r="D169" s="82" t="s">
        <v>400</v>
      </c>
      <c r="E169" s="82" t="s">
        <v>814</v>
      </c>
      <c r="F169" s="82" t="s">
        <v>701</v>
      </c>
      <c r="G169" s="85" t="s">
        <v>701</v>
      </c>
      <c r="H169" s="85" t="s">
        <v>701</v>
      </c>
      <c r="I169" s="82" t="s">
        <v>823</v>
      </c>
      <c r="J169" s="82" t="s">
        <v>824</v>
      </c>
      <c r="K169" s="82" t="s">
        <v>385</v>
      </c>
      <c r="L169" s="88" t="s">
        <v>310</v>
      </c>
      <c r="M169" s="54">
        <v>46671</v>
      </c>
      <c r="N169" s="55">
        <v>46694</v>
      </c>
    </row>
    <row r="170" spans="2:14" x14ac:dyDescent="0.25">
      <c r="B170" s="79" t="s">
        <v>381</v>
      </c>
      <c r="C170" s="82" t="s">
        <v>687</v>
      </c>
      <c r="D170" s="82" t="s">
        <v>405</v>
      </c>
      <c r="E170" s="82" t="s">
        <v>825</v>
      </c>
      <c r="F170" s="82" t="s">
        <v>826</v>
      </c>
      <c r="G170" s="85" t="s">
        <v>689</v>
      </c>
      <c r="H170" s="85" t="s">
        <v>689</v>
      </c>
      <c r="I170" s="82" t="s">
        <v>827</v>
      </c>
      <c r="J170" s="82" t="s">
        <v>828</v>
      </c>
      <c r="K170" s="82" t="s">
        <v>385</v>
      </c>
      <c r="L170" s="88" t="s">
        <v>310</v>
      </c>
      <c r="M170" s="54">
        <v>46509</v>
      </c>
      <c r="N170" s="55">
        <v>46537</v>
      </c>
    </row>
    <row r="171" spans="2:14" x14ac:dyDescent="0.25">
      <c r="B171" s="79" t="s">
        <v>381</v>
      </c>
      <c r="C171" s="82" t="s">
        <v>687</v>
      </c>
      <c r="D171" s="82" t="s">
        <v>405</v>
      </c>
      <c r="E171" s="82" t="s">
        <v>825</v>
      </c>
      <c r="F171" s="82" t="s">
        <v>826</v>
      </c>
      <c r="G171" s="85" t="s">
        <v>692</v>
      </c>
      <c r="H171" s="85" t="s">
        <v>692</v>
      </c>
      <c r="I171" s="82" t="s">
        <v>829</v>
      </c>
      <c r="J171" s="82" t="s">
        <v>830</v>
      </c>
      <c r="K171" s="82" t="s">
        <v>385</v>
      </c>
      <c r="L171" s="88" t="s">
        <v>310</v>
      </c>
      <c r="M171" s="54">
        <v>46538</v>
      </c>
      <c r="N171" s="55">
        <v>46561</v>
      </c>
    </row>
    <row r="172" spans="2:14" x14ac:dyDescent="0.25">
      <c r="B172" s="79" t="s">
        <v>381</v>
      </c>
      <c r="C172" s="82" t="s">
        <v>687</v>
      </c>
      <c r="D172" s="82" t="s">
        <v>405</v>
      </c>
      <c r="E172" s="82" t="s">
        <v>825</v>
      </c>
      <c r="F172" s="82" t="s">
        <v>826</v>
      </c>
      <c r="G172" s="85" t="s">
        <v>698</v>
      </c>
      <c r="H172" s="85" t="s">
        <v>698</v>
      </c>
      <c r="I172" s="82" t="s">
        <v>831</v>
      </c>
      <c r="J172" s="82" t="s">
        <v>832</v>
      </c>
      <c r="K172" s="82" t="s">
        <v>385</v>
      </c>
      <c r="L172" s="88" t="s">
        <v>310</v>
      </c>
      <c r="M172" s="54">
        <v>46562</v>
      </c>
      <c r="N172" s="55">
        <v>46586</v>
      </c>
    </row>
    <row r="173" spans="2:14" x14ac:dyDescent="0.25">
      <c r="B173" s="79" t="s">
        <v>381</v>
      </c>
      <c r="C173" s="82" t="s">
        <v>687</v>
      </c>
      <c r="D173" s="82" t="s">
        <v>405</v>
      </c>
      <c r="E173" s="82" t="s">
        <v>825</v>
      </c>
      <c r="F173" s="82" t="s">
        <v>833</v>
      </c>
      <c r="G173" s="85" t="s">
        <v>689</v>
      </c>
      <c r="H173" s="85" t="s">
        <v>689</v>
      </c>
      <c r="I173" s="82" t="s">
        <v>834</v>
      </c>
      <c r="J173" s="82" t="s">
        <v>835</v>
      </c>
      <c r="K173" s="82" t="s">
        <v>385</v>
      </c>
      <c r="L173" s="88" t="s">
        <v>310</v>
      </c>
      <c r="M173" s="54">
        <v>46447</v>
      </c>
      <c r="N173" s="55">
        <v>46473</v>
      </c>
    </row>
    <row r="174" spans="2:14" x14ac:dyDescent="0.25">
      <c r="B174" s="79" t="s">
        <v>381</v>
      </c>
      <c r="C174" s="82" t="s">
        <v>687</v>
      </c>
      <c r="D174" s="82" t="s">
        <v>405</v>
      </c>
      <c r="E174" s="82" t="s">
        <v>825</v>
      </c>
      <c r="F174" s="82" t="s">
        <v>833</v>
      </c>
      <c r="G174" s="85" t="s">
        <v>692</v>
      </c>
      <c r="H174" s="85" t="s">
        <v>692</v>
      </c>
      <c r="I174" s="82" t="s">
        <v>836</v>
      </c>
      <c r="J174" s="82" t="s">
        <v>837</v>
      </c>
      <c r="K174" s="82" t="s">
        <v>385</v>
      </c>
      <c r="L174" s="88" t="s">
        <v>310</v>
      </c>
      <c r="M174" s="54">
        <v>46562</v>
      </c>
      <c r="N174" s="55">
        <v>46586</v>
      </c>
    </row>
    <row r="175" spans="2:14" x14ac:dyDescent="0.25">
      <c r="B175" s="79" t="s">
        <v>381</v>
      </c>
      <c r="C175" s="82" t="s">
        <v>687</v>
      </c>
      <c r="D175" s="82" t="s">
        <v>405</v>
      </c>
      <c r="E175" s="82" t="s">
        <v>825</v>
      </c>
      <c r="F175" s="82" t="s">
        <v>833</v>
      </c>
      <c r="G175" s="85" t="s">
        <v>695</v>
      </c>
      <c r="H175" s="85" t="s">
        <v>695</v>
      </c>
      <c r="I175" s="82" t="s">
        <v>838</v>
      </c>
      <c r="J175" s="82" t="s">
        <v>839</v>
      </c>
      <c r="K175" s="82" t="s">
        <v>385</v>
      </c>
      <c r="L175" s="88" t="s">
        <v>310</v>
      </c>
      <c r="M175" s="54">
        <v>46587</v>
      </c>
      <c r="N175" s="55">
        <v>46610</v>
      </c>
    </row>
    <row r="176" spans="2:14" x14ac:dyDescent="0.25">
      <c r="B176" s="79" t="s">
        <v>381</v>
      </c>
      <c r="C176" s="82" t="s">
        <v>687</v>
      </c>
      <c r="D176" s="82" t="s">
        <v>405</v>
      </c>
      <c r="E176" s="82" t="s">
        <v>825</v>
      </c>
      <c r="F176" s="82" t="s">
        <v>833</v>
      </c>
      <c r="G176" s="85" t="s">
        <v>698</v>
      </c>
      <c r="H176" s="85" t="s">
        <v>698</v>
      </c>
      <c r="I176" s="82" t="s">
        <v>840</v>
      </c>
      <c r="J176" s="82" t="s">
        <v>841</v>
      </c>
      <c r="K176" s="82" t="s">
        <v>385</v>
      </c>
      <c r="L176" s="88" t="s">
        <v>310</v>
      </c>
      <c r="M176" s="54">
        <v>46618</v>
      </c>
      <c r="N176" s="55">
        <v>46642</v>
      </c>
    </row>
    <row r="177" spans="2:14" x14ac:dyDescent="0.25">
      <c r="B177" s="79" t="s">
        <v>381</v>
      </c>
      <c r="C177" s="82" t="s">
        <v>687</v>
      </c>
      <c r="D177" s="82" t="s">
        <v>405</v>
      </c>
      <c r="E177" s="82" t="s">
        <v>825</v>
      </c>
      <c r="F177" s="82" t="s">
        <v>842</v>
      </c>
      <c r="G177" s="85" t="s">
        <v>689</v>
      </c>
      <c r="H177" s="85" t="s">
        <v>689</v>
      </c>
      <c r="I177" s="82" t="s">
        <v>843</v>
      </c>
      <c r="J177" s="82" t="s">
        <v>844</v>
      </c>
      <c r="K177" s="82" t="s">
        <v>385</v>
      </c>
      <c r="L177" s="88" t="s">
        <v>310</v>
      </c>
      <c r="M177" s="54">
        <v>46552</v>
      </c>
      <c r="N177" s="55">
        <v>46575</v>
      </c>
    </row>
    <row r="178" spans="2:14" x14ac:dyDescent="0.25">
      <c r="B178" s="79" t="s">
        <v>381</v>
      </c>
      <c r="C178" s="82" t="s">
        <v>687</v>
      </c>
      <c r="D178" s="82" t="s">
        <v>405</v>
      </c>
      <c r="E178" s="82" t="s">
        <v>825</v>
      </c>
      <c r="F178" s="82" t="s">
        <v>842</v>
      </c>
      <c r="G178" s="85" t="s">
        <v>692</v>
      </c>
      <c r="H178" s="85" t="s">
        <v>692</v>
      </c>
      <c r="I178" s="82" t="s">
        <v>845</v>
      </c>
      <c r="J178" s="82" t="s">
        <v>846</v>
      </c>
      <c r="K178" s="82" t="s">
        <v>385</v>
      </c>
      <c r="L178" s="88" t="s">
        <v>214</v>
      </c>
      <c r="M178" s="54">
        <v>46631</v>
      </c>
      <c r="N178" s="55">
        <v>46646</v>
      </c>
    </row>
    <row r="179" spans="2:14" x14ac:dyDescent="0.25">
      <c r="B179" s="79" t="s">
        <v>381</v>
      </c>
      <c r="C179" s="82" t="s">
        <v>687</v>
      </c>
      <c r="D179" s="82" t="s">
        <v>405</v>
      </c>
      <c r="E179" s="82" t="s">
        <v>825</v>
      </c>
      <c r="F179" s="82" t="s">
        <v>842</v>
      </c>
      <c r="G179" s="85" t="s">
        <v>698</v>
      </c>
      <c r="H179" s="85" t="s">
        <v>698</v>
      </c>
      <c r="I179" s="82" t="s">
        <v>847</v>
      </c>
      <c r="J179" s="82" t="s">
        <v>848</v>
      </c>
      <c r="K179" s="82" t="s">
        <v>385</v>
      </c>
      <c r="L179" s="88" t="s">
        <v>310</v>
      </c>
      <c r="M179" s="54">
        <v>46709</v>
      </c>
      <c r="N179" s="55">
        <v>46733</v>
      </c>
    </row>
    <row r="180" spans="2:14" x14ac:dyDescent="0.25">
      <c r="B180" s="79" t="s">
        <v>381</v>
      </c>
      <c r="C180" s="82" t="s">
        <v>687</v>
      </c>
      <c r="D180" s="82" t="s">
        <v>405</v>
      </c>
      <c r="E180" s="82" t="s">
        <v>849</v>
      </c>
      <c r="F180" s="82" t="s">
        <v>850</v>
      </c>
      <c r="G180" s="85" t="s">
        <v>689</v>
      </c>
      <c r="H180" s="85" t="s">
        <v>689</v>
      </c>
      <c r="I180" s="82" t="s">
        <v>851</v>
      </c>
      <c r="J180" s="82" t="s">
        <v>852</v>
      </c>
      <c r="K180" s="82" t="s">
        <v>385</v>
      </c>
      <c r="L180" s="88" t="s">
        <v>310</v>
      </c>
      <c r="M180" s="54">
        <v>46533</v>
      </c>
      <c r="N180" s="55">
        <v>46557</v>
      </c>
    </row>
    <row r="181" spans="2:14" x14ac:dyDescent="0.25">
      <c r="B181" s="79" t="s">
        <v>381</v>
      </c>
      <c r="C181" s="82" t="s">
        <v>687</v>
      </c>
      <c r="D181" s="82" t="s">
        <v>405</v>
      </c>
      <c r="E181" s="82" t="s">
        <v>849</v>
      </c>
      <c r="F181" s="82" t="s">
        <v>850</v>
      </c>
      <c r="G181" s="85" t="s">
        <v>692</v>
      </c>
      <c r="H181" s="85" t="s">
        <v>692</v>
      </c>
      <c r="I181" s="82" t="s">
        <v>853</v>
      </c>
      <c r="J181" s="82" t="s">
        <v>854</v>
      </c>
      <c r="K181" s="82" t="s">
        <v>385</v>
      </c>
      <c r="L181" s="88" t="s">
        <v>214</v>
      </c>
      <c r="M181" s="54">
        <v>46713</v>
      </c>
      <c r="N181" s="55">
        <v>46728</v>
      </c>
    </row>
    <row r="182" spans="2:14" x14ac:dyDescent="0.25">
      <c r="B182" s="79" t="s">
        <v>381</v>
      </c>
      <c r="C182" s="82" t="s">
        <v>687</v>
      </c>
      <c r="D182" s="82" t="s">
        <v>405</v>
      </c>
      <c r="E182" s="82" t="s">
        <v>849</v>
      </c>
      <c r="F182" s="82" t="s">
        <v>850</v>
      </c>
      <c r="G182" s="85" t="s">
        <v>695</v>
      </c>
      <c r="H182" s="85" t="s">
        <v>695</v>
      </c>
      <c r="I182" s="82" t="s">
        <v>855</v>
      </c>
      <c r="J182" s="82" t="s">
        <v>856</v>
      </c>
      <c r="K182" s="82" t="s">
        <v>385</v>
      </c>
      <c r="L182" s="88" t="s">
        <v>310</v>
      </c>
      <c r="M182" s="54">
        <v>46729</v>
      </c>
      <c r="N182" s="55">
        <v>46753</v>
      </c>
    </row>
    <row r="183" spans="2:14" x14ac:dyDescent="0.25">
      <c r="B183" s="79" t="s">
        <v>381</v>
      </c>
      <c r="C183" s="82" t="s">
        <v>687</v>
      </c>
      <c r="D183" s="82" t="s">
        <v>405</v>
      </c>
      <c r="E183" s="82" t="s">
        <v>849</v>
      </c>
      <c r="F183" s="82" t="s">
        <v>850</v>
      </c>
      <c r="G183" s="85" t="s">
        <v>698</v>
      </c>
      <c r="H183" s="85" t="s">
        <v>698</v>
      </c>
      <c r="I183" s="82" t="s">
        <v>857</v>
      </c>
      <c r="J183" s="82" t="s">
        <v>858</v>
      </c>
      <c r="K183" s="82" t="s">
        <v>385</v>
      </c>
      <c r="L183" s="88" t="s">
        <v>214</v>
      </c>
      <c r="M183" s="54">
        <v>46713</v>
      </c>
      <c r="N183" s="55">
        <v>46728</v>
      </c>
    </row>
    <row r="184" spans="2:14" x14ac:dyDescent="0.25">
      <c r="B184" s="79" t="s">
        <v>381</v>
      </c>
      <c r="C184" s="82" t="s">
        <v>687</v>
      </c>
      <c r="D184" s="82" t="s">
        <v>405</v>
      </c>
      <c r="E184" s="82" t="s">
        <v>849</v>
      </c>
      <c r="F184" s="82" t="s">
        <v>859</v>
      </c>
      <c r="G184" s="85" t="s">
        <v>689</v>
      </c>
      <c r="H184" s="85" t="s">
        <v>689</v>
      </c>
      <c r="I184" s="82" t="s">
        <v>860</v>
      </c>
      <c r="J184" s="82" t="s">
        <v>861</v>
      </c>
      <c r="K184" s="82" t="s">
        <v>385</v>
      </c>
      <c r="L184" s="88" t="s">
        <v>310</v>
      </c>
      <c r="M184" s="54">
        <v>46572</v>
      </c>
      <c r="N184" s="55">
        <v>46595</v>
      </c>
    </row>
    <row r="185" spans="2:14" x14ac:dyDescent="0.25">
      <c r="B185" s="79" t="s">
        <v>381</v>
      </c>
      <c r="C185" s="82" t="s">
        <v>687</v>
      </c>
      <c r="D185" s="82" t="s">
        <v>405</v>
      </c>
      <c r="E185" s="82" t="s">
        <v>849</v>
      </c>
      <c r="F185" s="82" t="s">
        <v>859</v>
      </c>
      <c r="G185" s="85" t="s">
        <v>692</v>
      </c>
      <c r="H185" s="85" t="s">
        <v>692</v>
      </c>
      <c r="I185" s="82" t="s">
        <v>862</v>
      </c>
      <c r="J185" s="82" t="s">
        <v>863</v>
      </c>
      <c r="K185" s="82" t="s">
        <v>385</v>
      </c>
      <c r="L185" s="88" t="s">
        <v>310</v>
      </c>
      <c r="M185" s="54">
        <v>46729</v>
      </c>
      <c r="N185" s="55">
        <v>46753</v>
      </c>
    </row>
    <row r="186" spans="2:14" x14ac:dyDescent="0.25">
      <c r="B186" s="79" t="s">
        <v>381</v>
      </c>
      <c r="C186" s="82" t="s">
        <v>687</v>
      </c>
      <c r="D186" s="82" t="s">
        <v>405</v>
      </c>
      <c r="E186" s="82" t="s">
        <v>849</v>
      </c>
      <c r="F186" s="82" t="s">
        <v>859</v>
      </c>
      <c r="G186" s="85" t="s">
        <v>698</v>
      </c>
      <c r="H186" s="85" t="s">
        <v>698</v>
      </c>
      <c r="I186" s="82" t="s">
        <v>864</v>
      </c>
      <c r="J186" s="82" t="s">
        <v>865</v>
      </c>
      <c r="K186" s="82" t="s">
        <v>385</v>
      </c>
      <c r="L186" s="88" t="s">
        <v>214</v>
      </c>
      <c r="M186" s="54">
        <v>46754</v>
      </c>
      <c r="N186" s="55">
        <v>46769</v>
      </c>
    </row>
    <row r="187" spans="2:14" x14ac:dyDescent="0.25">
      <c r="B187" s="79" t="s">
        <v>381</v>
      </c>
      <c r="C187" s="82" t="s">
        <v>687</v>
      </c>
      <c r="D187" s="82" t="s">
        <v>405</v>
      </c>
      <c r="E187" s="82" t="s">
        <v>849</v>
      </c>
      <c r="F187" s="82" t="s">
        <v>866</v>
      </c>
      <c r="G187" s="85" t="s">
        <v>689</v>
      </c>
      <c r="H187" s="85" t="s">
        <v>689</v>
      </c>
      <c r="I187" s="82" t="s">
        <v>867</v>
      </c>
      <c r="J187" s="82" t="s">
        <v>868</v>
      </c>
      <c r="K187" s="82" t="s">
        <v>385</v>
      </c>
      <c r="L187" s="88" t="s">
        <v>310</v>
      </c>
      <c r="M187" s="54">
        <v>46596</v>
      </c>
      <c r="N187" s="55">
        <v>46620</v>
      </c>
    </row>
    <row r="188" spans="2:14" x14ac:dyDescent="0.25">
      <c r="B188" s="79" t="s">
        <v>381</v>
      </c>
      <c r="C188" s="82" t="s">
        <v>687</v>
      </c>
      <c r="D188" s="82" t="s">
        <v>405</v>
      </c>
      <c r="E188" s="82" t="s">
        <v>849</v>
      </c>
      <c r="F188" s="82" t="s">
        <v>866</v>
      </c>
      <c r="G188" s="85" t="s">
        <v>692</v>
      </c>
      <c r="H188" s="85" t="s">
        <v>692</v>
      </c>
      <c r="I188" s="82" t="s">
        <v>869</v>
      </c>
      <c r="J188" s="82" t="s">
        <v>870</v>
      </c>
      <c r="K188" s="82" t="s">
        <v>385</v>
      </c>
      <c r="L188" s="88" t="s">
        <v>214</v>
      </c>
      <c r="M188" s="54">
        <v>46754</v>
      </c>
      <c r="N188" s="55">
        <v>46769</v>
      </c>
    </row>
    <row r="189" spans="2:14" x14ac:dyDescent="0.25">
      <c r="B189" s="79" t="s">
        <v>381</v>
      </c>
      <c r="C189" s="82" t="s">
        <v>687</v>
      </c>
      <c r="D189" s="82" t="s">
        <v>405</v>
      </c>
      <c r="E189" s="82" t="s">
        <v>849</v>
      </c>
      <c r="F189" s="82" t="s">
        <v>866</v>
      </c>
      <c r="G189" s="85" t="s">
        <v>698</v>
      </c>
      <c r="H189" s="85" t="s">
        <v>698</v>
      </c>
      <c r="I189" s="82" t="s">
        <v>871</v>
      </c>
      <c r="J189" s="82" t="s">
        <v>872</v>
      </c>
      <c r="K189" s="82" t="s">
        <v>385</v>
      </c>
      <c r="L189" s="88" t="s">
        <v>214</v>
      </c>
      <c r="M189" s="54">
        <v>46770</v>
      </c>
      <c r="N189" s="55">
        <v>46785</v>
      </c>
    </row>
    <row r="190" spans="2:14" x14ac:dyDescent="0.25">
      <c r="B190" s="79" t="s">
        <v>381</v>
      </c>
      <c r="C190" s="82" t="s">
        <v>687</v>
      </c>
      <c r="D190" s="82" t="s">
        <v>405</v>
      </c>
      <c r="E190" s="82" t="s">
        <v>873</v>
      </c>
      <c r="F190" s="82" t="s">
        <v>874</v>
      </c>
      <c r="G190" s="85" t="s">
        <v>689</v>
      </c>
      <c r="H190" s="85" t="s">
        <v>689</v>
      </c>
      <c r="I190" s="82" t="s">
        <v>875</v>
      </c>
      <c r="J190" s="82" t="s">
        <v>876</v>
      </c>
      <c r="K190" s="82" t="s">
        <v>385</v>
      </c>
      <c r="L190" s="88" t="s">
        <v>313</v>
      </c>
      <c r="M190" s="54">
        <v>46341</v>
      </c>
      <c r="N190" s="55">
        <v>46368</v>
      </c>
    </row>
    <row r="191" spans="2:14" x14ac:dyDescent="0.25">
      <c r="B191" s="79" t="s">
        <v>381</v>
      </c>
      <c r="C191" s="82" t="s">
        <v>687</v>
      </c>
      <c r="D191" s="82" t="s">
        <v>405</v>
      </c>
      <c r="E191" s="82" t="s">
        <v>873</v>
      </c>
      <c r="F191" s="82" t="s">
        <v>874</v>
      </c>
      <c r="G191" s="85" t="s">
        <v>692</v>
      </c>
      <c r="H191" s="85" t="s">
        <v>692</v>
      </c>
      <c r="I191" s="82" t="s">
        <v>877</v>
      </c>
      <c r="J191" s="82" t="s">
        <v>878</v>
      </c>
      <c r="K191" s="82" t="s">
        <v>385</v>
      </c>
      <c r="L191" s="88" t="s">
        <v>310</v>
      </c>
      <c r="M191" s="54">
        <v>46600</v>
      </c>
      <c r="N191" s="55">
        <v>46623</v>
      </c>
    </row>
    <row r="192" spans="2:14" x14ac:dyDescent="0.25">
      <c r="B192" s="79" t="s">
        <v>381</v>
      </c>
      <c r="C192" s="82" t="s">
        <v>687</v>
      </c>
      <c r="D192" s="82" t="s">
        <v>405</v>
      </c>
      <c r="E192" s="82" t="s">
        <v>873</v>
      </c>
      <c r="F192" s="82" t="s">
        <v>874</v>
      </c>
      <c r="G192" s="85" t="s">
        <v>695</v>
      </c>
      <c r="H192" s="85" t="s">
        <v>695</v>
      </c>
      <c r="I192" s="82" t="s">
        <v>879</v>
      </c>
      <c r="J192" s="82" t="s">
        <v>880</v>
      </c>
      <c r="K192" s="82" t="s">
        <v>385</v>
      </c>
      <c r="L192" s="88" t="s">
        <v>214</v>
      </c>
      <c r="M192" s="54">
        <v>46743</v>
      </c>
      <c r="N192" s="55">
        <v>46758</v>
      </c>
    </row>
    <row r="193" spans="2:14" x14ac:dyDescent="0.25">
      <c r="B193" s="79" t="s">
        <v>381</v>
      </c>
      <c r="C193" s="82" t="s">
        <v>687</v>
      </c>
      <c r="D193" s="82" t="s">
        <v>405</v>
      </c>
      <c r="E193" s="82" t="s">
        <v>873</v>
      </c>
      <c r="F193" s="82" t="s">
        <v>874</v>
      </c>
      <c r="G193" s="85" t="s">
        <v>698</v>
      </c>
      <c r="H193" s="85" t="s">
        <v>698</v>
      </c>
      <c r="I193" s="82" t="s">
        <v>881</v>
      </c>
      <c r="J193" s="82" t="s">
        <v>882</v>
      </c>
      <c r="K193" s="82" t="s">
        <v>385</v>
      </c>
      <c r="L193" s="88" t="s">
        <v>214</v>
      </c>
      <c r="M193" s="54">
        <v>46713</v>
      </c>
      <c r="N193" s="55">
        <v>46728</v>
      </c>
    </row>
    <row r="194" spans="2:14" x14ac:dyDescent="0.25">
      <c r="B194" s="79" t="s">
        <v>381</v>
      </c>
      <c r="C194" s="82" t="s">
        <v>687</v>
      </c>
      <c r="D194" s="82" t="s">
        <v>405</v>
      </c>
      <c r="E194" s="82" t="s">
        <v>873</v>
      </c>
      <c r="F194" s="82" t="s">
        <v>883</v>
      </c>
      <c r="G194" s="85" t="s">
        <v>689</v>
      </c>
      <c r="H194" s="85" t="s">
        <v>689</v>
      </c>
      <c r="I194" s="82" t="s">
        <v>884</v>
      </c>
      <c r="J194" s="82" t="s">
        <v>885</v>
      </c>
      <c r="K194" s="82" t="s">
        <v>385</v>
      </c>
      <c r="L194" s="88" t="s">
        <v>310</v>
      </c>
      <c r="M194" s="54">
        <v>46445</v>
      </c>
      <c r="N194" s="55">
        <v>46470</v>
      </c>
    </row>
    <row r="195" spans="2:14" x14ac:dyDescent="0.25">
      <c r="B195" s="79" t="s">
        <v>381</v>
      </c>
      <c r="C195" s="82" t="s">
        <v>687</v>
      </c>
      <c r="D195" s="82" t="s">
        <v>405</v>
      </c>
      <c r="E195" s="82" t="s">
        <v>873</v>
      </c>
      <c r="F195" s="82" t="s">
        <v>883</v>
      </c>
      <c r="G195" s="85" t="s">
        <v>692</v>
      </c>
      <c r="H195" s="85" t="s">
        <v>692</v>
      </c>
      <c r="I195" s="82" t="s">
        <v>886</v>
      </c>
      <c r="J195" s="82" t="s">
        <v>887</v>
      </c>
      <c r="K195" s="82" t="s">
        <v>385</v>
      </c>
      <c r="L195" s="88" t="s">
        <v>310</v>
      </c>
      <c r="M195" s="54">
        <v>46638</v>
      </c>
      <c r="N195" s="55">
        <v>46663</v>
      </c>
    </row>
    <row r="196" spans="2:14" x14ac:dyDescent="0.25">
      <c r="B196" s="79" t="s">
        <v>381</v>
      </c>
      <c r="C196" s="82" t="s">
        <v>687</v>
      </c>
      <c r="D196" s="82" t="s">
        <v>405</v>
      </c>
      <c r="E196" s="82" t="s">
        <v>873</v>
      </c>
      <c r="F196" s="82" t="s">
        <v>883</v>
      </c>
      <c r="G196" s="85" t="s">
        <v>698</v>
      </c>
      <c r="H196" s="85" t="s">
        <v>698</v>
      </c>
      <c r="I196" s="82" t="s">
        <v>888</v>
      </c>
      <c r="J196" s="82" t="s">
        <v>889</v>
      </c>
      <c r="K196" s="82" t="s">
        <v>385</v>
      </c>
      <c r="L196" s="88" t="s">
        <v>310</v>
      </c>
      <c r="M196" s="54">
        <v>46743</v>
      </c>
      <c r="N196" s="55">
        <v>46767</v>
      </c>
    </row>
    <row r="197" spans="2:14" x14ac:dyDescent="0.25">
      <c r="B197" s="79" t="s">
        <v>381</v>
      </c>
      <c r="C197" s="82" t="s">
        <v>687</v>
      </c>
      <c r="D197" s="82" t="s">
        <v>405</v>
      </c>
      <c r="E197" s="82" t="s">
        <v>890</v>
      </c>
      <c r="F197" s="82" t="s">
        <v>891</v>
      </c>
      <c r="G197" s="85" t="s">
        <v>689</v>
      </c>
      <c r="H197" s="85" t="s">
        <v>689</v>
      </c>
      <c r="I197" s="82" t="s">
        <v>892</v>
      </c>
      <c r="J197" s="82" t="s">
        <v>893</v>
      </c>
      <c r="K197" s="82" t="s">
        <v>385</v>
      </c>
      <c r="L197" s="88" t="s">
        <v>313</v>
      </c>
      <c r="M197" s="54">
        <v>46383</v>
      </c>
      <c r="N197" s="55">
        <v>46410</v>
      </c>
    </row>
    <row r="198" spans="2:14" x14ac:dyDescent="0.25">
      <c r="B198" s="79" t="s">
        <v>381</v>
      </c>
      <c r="C198" s="82" t="s">
        <v>687</v>
      </c>
      <c r="D198" s="82" t="s">
        <v>405</v>
      </c>
      <c r="E198" s="82" t="s">
        <v>890</v>
      </c>
      <c r="F198" s="82" t="s">
        <v>891</v>
      </c>
      <c r="G198" s="85" t="s">
        <v>692</v>
      </c>
      <c r="H198" s="85" t="s">
        <v>692</v>
      </c>
      <c r="I198" s="82" t="s">
        <v>894</v>
      </c>
      <c r="J198" s="82" t="s">
        <v>895</v>
      </c>
      <c r="K198" s="82" t="s">
        <v>385</v>
      </c>
      <c r="L198" s="88" t="s">
        <v>310</v>
      </c>
      <c r="M198" s="54">
        <v>46620</v>
      </c>
      <c r="N198" s="55">
        <v>46643</v>
      </c>
    </row>
    <row r="199" spans="2:14" x14ac:dyDescent="0.25">
      <c r="B199" s="79" t="s">
        <v>381</v>
      </c>
      <c r="C199" s="82" t="s">
        <v>687</v>
      </c>
      <c r="D199" s="82" t="s">
        <v>405</v>
      </c>
      <c r="E199" s="82" t="s">
        <v>890</v>
      </c>
      <c r="F199" s="82" t="s">
        <v>891</v>
      </c>
      <c r="G199" s="85" t="s">
        <v>695</v>
      </c>
      <c r="H199" s="85" t="s">
        <v>695</v>
      </c>
      <c r="I199" s="82" t="s">
        <v>896</v>
      </c>
      <c r="J199" s="82" t="s">
        <v>897</v>
      </c>
      <c r="K199" s="82" t="s">
        <v>385</v>
      </c>
      <c r="L199" s="88" t="s">
        <v>310</v>
      </c>
      <c r="M199" s="54">
        <v>46713</v>
      </c>
      <c r="N199" s="55">
        <v>46736</v>
      </c>
    </row>
    <row r="200" spans="2:14" x14ac:dyDescent="0.25">
      <c r="B200" s="79" t="s">
        <v>381</v>
      </c>
      <c r="C200" s="82" t="s">
        <v>687</v>
      </c>
      <c r="D200" s="82" t="s">
        <v>405</v>
      </c>
      <c r="E200" s="82" t="s">
        <v>890</v>
      </c>
      <c r="F200" s="82" t="s">
        <v>891</v>
      </c>
      <c r="G200" s="85" t="s">
        <v>698</v>
      </c>
      <c r="H200" s="85" t="s">
        <v>698</v>
      </c>
      <c r="I200" s="82" t="s">
        <v>898</v>
      </c>
      <c r="J200" s="82" t="s">
        <v>899</v>
      </c>
      <c r="K200" s="82" t="s">
        <v>385</v>
      </c>
      <c r="L200" s="88" t="s">
        <v>310</v>
      </c>
      <c r="M200" s="54">
        <v>46713</v>
      </c>
      <c r="N200" s="55">
        <v>46736</v>
      </c>
    </row>
    <row r="201" spans="2:14" x14ac:dyDescent="0.25">
      <c r="B201" s="79" t="s">
        <v>381</v>
      </c>
      <c r="C201" s="82" t="s">
        <v>687</v>
      </c>
      <c r="D201" s="82" t="s">
        <v>405</v>
      </c>
      <c r="E201" s="82" t="s">
        <v>890</v>
      </c>
      <c r="F201" s="82" t="s">
        <v>900</v>
      </c>
      <c r="G201" s="85" t="s">
        <v>689</v>
      </c>
      <c r="H201" s="85" t="s">
        <v>689</v>
      </c>
      <c r="I201" s="82" t="s">
        <v>901</v>
      </c>
      <c r="J201" s="82" t="s">
        <v>902</v>
      </c>
      <c r="K201" s="82" t="s">
        <v>385</v>
      </c>
      <c r="L201" s="88" t="s">
        <v>310</v>
      </c>
      <c r="M201" s="54">
        <v>46501</v>
      </c>
      <c r="N201" s="55">
        <v>46529</v>
      </c>
    </row>
    <row r="202" spans="2:14" x14ac:dyDescent="0.25">
      <c r="B202" s="79" t="s">
        <v>381</v>
      </c>
      <c r="C202" s="82" t="s">
        <v>687</v>
      </c>
      <c r="D202" s="82" t="s">
        <v>405</v>
      </c>
      <c r="E202" s="82" t="s">
        <v>890</v>
      </c>
      <c r="F202" s="82" t="s">
        <v>900</v>
      </c>
      <c r="G202" s="85" t="s">
        <v>692</v>
      </c>
      <c r="H202" s="85" t="s">
        <v>692</v>
      </c>
      <c r="I202" s="82" t="s">
        <v>903</v>
      </c>
      <c r="J202" s="82" t="s">
        <v>904</v>
      </c>
      <c r="K202" s="82" t="s">
        <v>385</v>
      </c>
      <c r="L202" s="88" t="s">
        <v>310</v>
      </c>
      <c r="M202" s="54">
        <v>46644</v>
      </c>
      <c r="N202" s="55">
        <v>46669</v>
      </c>
    </row>
    <row r="203" spans="2:14" x14ac:dyDescent="0.25">
      <c r="B203" s="79" t="s">
        <v>381</v>
      </c>
      <c r="C203" s="82" t="s">
        <v>687</v>
      </c>
      <c r="D203" s="82" t="s">
        <v>405</v>
      </c>
      <c r="E203" s="82" t="s">
        <v>890</v>
      </c>
      <c r="F203" s="82" t="s">
        <v>900</v>
      </c>
      <c r="G203" s="85" t="s">
        <v>698</v>
      </c>
      <c r="H203" s="85" t="s">
        <v>698</v>
      </c>
      <c r="I203" s="82" t="s">
        <v>905</v>
      </c>
      <c r="J203" s="82" t="s">
        <v>906</v>
      </c>
      <c r="K203" s="82" t="s">
        <v>385</v>
      </c>
      <c r="L203" s="88" t="s">
        <v>310</v>
      </c>
      <c r="M203" s="54">
        <v>46751</v>
      </c>
      <c r="N203" s="55">
        <v>46775</v>
      </c>
    </row>
    <row r="204" spans="2:14" x14ac:dyDescent="0.25">
      <c r="B204" s="79" t="s">
        <v>381</v>
      </c>
      <c r="C204" s="82" t="s">
        <v>687</v>
      </c>
      <c r="D204" s="82" t="s">
        <v>405</v>
      </c>
      <c r="E204" s="82" t="s">
        <v>890</v>
      </c>
      <c r="F204" s="82" t="s">
        <v>907</v>
      </c>
      <c r="G204" s="85" t="s">
        <v>689</v>
      </c>
      <c r="H204" s="85" t="s">
        <v>689</v>
      </c>
      <c r="I204" s="82" t="s">
        <v>908</v>
      </c>
      <c r="J204" s="82" t="s">
        <v>909</v>
      </c>
      <c r="K204" s="82" t="s">
        <v>385</v>
      </c>
      <c r="L204" s="88" t="s">
        <v>310</v>
      </c>
      <c r="M204" s="54">
        <v>46606</v>
      </c>
      <c r="N204" s="55">
        <v>46629</v>
      </c>
    </row>
    <row r="205" spans="2:14" x14ac:dyDescent="0.25">
      <c r="B205" s="79" t="s">
        <v>381</v>
      </c>
      <c r="C205" s="82" t="s">
        <v>687</v>
      </c>
      <c r="D205" s="82" t="s">
        <v>405</v>
      </c>
      <c r="E205" s="82" t="s">
        <v>890</v>
      </c>
      <c r="F205" s="82" t="s">
        <v>907</v>
      </c>
      <c r="G205" s="85" t="s">
        <v>692</v>
      </c>
      <c r="H205" s="85" t="s">
        <v>692</v>
      </c>
      <c r="I205" s="82" t="s">
        <v>910</v>
      </c>
      <c r="J205" s="82" t="s">
        <v>911</v>
      </c>
      <c r="K205" s="82" t="s">
        <v>385</v>
      </c>
      <c r="L205" s="88" t="s">
        <v>310</v>
      </c>
      <c r="M205" s="54">
        <v>46684</v>
      </c>
      <c r="N205" s="55">
        <v>46707</v>
      </c>
    </row>
    <row r="206" spans="2:14" x14ac:dyDescent="0.25">
      <c r="B206" s="79" t="s">
        <v>381</v>
      </c>
      <c r="C206" s="82" t="s">
        <v>687</v>
      </c>
      <c r="D206" s="82" t="s">
        <v>405</v>
      </c>
      <c r="E206" s="82" t="s">
        <v>890</v>
      </c>
      <c r="F206" s="82" t="s">
        <v>907</v>
      </c>
      <c r="G206" s="85" t="s">
        <v>698</v>
      </c>
      <c r="H206" s="85" t="s">
        <v>698</v>
      </c>
      <c r="I206" s="82" t="s">
        <v>912</v>
      </c>
      <c r="J206" s="82" t="s">
        <v>913</v>
      </c>
      <c r="K206" s="82" t="s">
        <v>385</v>
      </c>
      <c r="L206" s="88" t="s">
        <v>310</v>
      </c>
      <c r="M206" s="54">
        <v>46776</v>
      </c>
      <c r="N206" s="55">
        <v>46799</v>
      </c>
    </row>
    <row r="207" spans="2:14" x14ac:dyDescent="0.25">
      <c r="B207" s="79" t="s">
        <v>381</v>
      </c>
      <c r="C207" s="82" t="s">
        <v>687</v>
      </c>
      <c r="D207" s="82" t="s">
        <v>405</v>
      </c>
      <c r="E207" s="82" t="s">
        <v>914</v>
      </c>
      <c r="F207" s="82" t="s">
        <v>915</v>
      </c>
      <c r="G207" s="85" t="s">
        <v>689</v>
      </c>
      <c r="H207" s="85" t="s">
        <v>689</v>
      </c>
      <c r="I207" s="82" t="s">
        <v>916</v>
      </c>
      <c r="J207" s="82" t="s">
        <v>917</v>
      </c>
      <c r="K207" s="82" t="s">
        <v>385</v>
      </c>
      <c r="L207" s="88" t="s">
        <v>313</v>
      </c>
      <c r="M207" s="54">
        <v>46425</v>
      </c>
      <c r="N207" s="55">
        <v>46453</v>
      </c>
    </row>
    <row r="208" spans="2:14" x14ac:dyDescent="0.25">
      <c r="B208" s="79" t="s">
        <v>381</v>
      </c>
      <c r="C208" s="82" t="s">
        <v>687</v>
      </c>
      <c r="D208" s="82" t="s">
        <v>405</v>
      </c>
      <c r="E208" s="82" t="s">
        <v>914</v>
      </c>
      <c r="F208" s="82" t="s">
        <v>915</v>
      </c>
      <c r="G208" s="85" t="s">
        <v>692</v>
      </c>
      <c r="H208" s="85" t="s">
        <v>692</v>
      </c>
      <c r="I208" s="82" t="s">
        <v>918</v>
      </c>
      <c r="J208" s="82" t="s">
        <v>919</v>
      </c>
      <c r="K208" s="82" t="s">
        <v>385</v>
      </c>
      <c r="L208" s="88" t="s">
        <v>310</v>
      </c>
      <c r="M208" s="54">
        <v>46620</v>
      </c>
      <c r="N208" s="55">
        <v>46643</v>
      </c>
    </row>
    <row r="209" spans="2:14" x14ac:dyDescent="0.25">
      <c r="B209" s="79" t="s">
        <v>381</v>
      </c>
      <c r="C209" s="82" t="s">
        <v>687</v>
      </c>
      <c r="D209" s="82" t="s">
        <v>405</v>
      </c>
      <c r="E209" s="82" t="s">
        <v>914</v>
      </c>
      <c r="F209" s="82" t="s">
        <v>915</v>
      </c>
      <c r="G209" s="85" t="s">
        <v>698</v>
      </c>
      <c r="H209" s="85" t="s">
        <v>698</v>
      </c>
      <c r="I209" s="82" t="s">
        <v>920</v>
      </c>
      <c r="J209" s="82" t="s">
        <v>921</v>
      </c>
      <c r="K209" s="82" t="s">
        <v>385</v>
      </c>
      <c r="L209" s="88" t="s">
        <v>214</v>
      </c>
      <c r="M209" s="54">
        <v>46721</v>
      </c>
      <c r="N209" s="55">
        <v>46736</v>
      </c>
    </row>
    <row r="210" spans="2:14" x14ac:dyDescent="0.25">
      <c r="B210" s="79" t="s">
        <v>381</v>
      </c>
      <c r="C210" s="82" t="s">
        <v>687</v>
      </c>
      <c r="D210" s="82" t="s">
        <v>405</v>
      </c>
      <c r="E210" s="82" t="s">
        <v>914</v>
      </c>
      <c r="F210" s="82" t="s">
        <v>922</v>
      </c>
      <c r="G210" s="85" t="s">
        <v>689</v>
      </c>
      <c r="H210" s="85" t="s">
        <v>689</v>
      </c>
      <c r="I210" s="82" t="s">
        <v>923</v>
      </c>
      <c r="J210" s="82" t="s">
        <v>924</v>
      </c>
      <c r="K210" s="82" t="s">
        <v>385</v>
      </c>
      <c r="L210" s="88" t="s">
        <v>310</v>
      </c>
      <c r="M210" s="54">
        <v>46468</v>
      </c>
      <c r="N210" s="55">
        <v>46491</v>
      </c>
    </row>
    <row r="211" spans="2:14" x14ac:dyDescent="0.25">
      <c r="B211" s="79" t="s">
        <v>381</v>
      </c>
      <c r="C211" s="82" t="s">
        <v>687</v>
      </c>
      <c r="D211" s="82" t="s">
        <v>405</v>
      </c>
      <c r="E211" s="82" t="s">
        <v>914</v>
      </c>
      <c r="F211" s="82" t="s">
        <v>922</v>
      </c>
      <c r="G211" s="85" t="s">
        <v>692</v>
      </c>
      <c r="H211" s="85" t="s">
        <v>692</v>
      </c>
      <c r="I211" s="82" t="s">
        <v>925</v>
      </c>
      <c r="J211" s="82" t="s">
        <v>926</v>
      </c>
      <c r="K211" s="82" t="s">
        <v>385</v>
      </c>
      <c r="L211" s="88" t="s">
        <v>310</v>
      </c>
      <c r="M211" s="54">
        <v>46644</v>
      </c>
      <c r="N211" s="55">
        <v>46669</v>
      </c>
    </row>
    <row r="212" spans="2:14" x14ac:dyDescent="0.25">
      <c r="B212" s="79" t="s">
        <v>381</v>
      </c>
      <c r="C212" s="82" t="s">
        <v>687</v>
      </c>
      <c r="D212" s="82" t="s">
        <v>405</v>
      </c>
      <c r="E212" s="82" t="s">
        <v>914</v>
      </c>
      <c r="F212" s="82" t="s">
        <v>922</v>
      </c>
      <c r="G212" s="85" t="s">
        <v>698</v>
      </c>
      <c r="H212" s="85" t="s">
        <v>698</v>
      </c>
      <c r="I212" s="82" t="s">
        <v>927</v>
      </c>
      <c r="J212" s="82" t="s">
        <v>928</v>
      </c>
      <c r="K212" s="82" t="s">
        <v>385</v>
      </c>
      <c r="L212" s="88" t="s">
        <v>214</v>
      </c>
      <c r="M212" s="54">
        <v>46721</v>
      </c>
      <c r="N212" s="55">
        <v>46736</v>
      </c>
    </row>
    <row r="213" spans="2:14" x14ac:dyDescent="0.25">
      <c r="B213" s="79" t="s">
        <v>381</v>
      </c>
      <c r="C213" s="82" t="s">
        <v>687</v>
      </c>
      <c r="D213" s="82" t="s">
        <v>405</v>
      </c>
      <c r="E213" s="82" t="s">
        <v>914</v>
      </c>
      <c r="F213" s="82" t="s">
        <v>929</v>
      </c>
      <c r="G213" s="85" t="s">
        <v>689</v>
      </c>
      <c r="H213" s="85" t="s">
        <v>689</v>
      </c>
      <c r="I213" s="82" t="s">
        <v>930</v>
      </c>
      <c r="J213" s="82" t="s">
        <v>931</v>
      </c>
      <c r="K213" s="82" t="s">
        <v>385</v>
      </c>
      <c r="L213" s="88" t="s">
        <v>317</v>
      </c>
      <c r="M213" s="54">
        <v>46567</v>
      </c>
      <c r="N213" s="55">
        <v>46599</v>
      </c>
    </row>
    <row r="214" spans="2:14" x14ac:dyDescent="0.25">
      <c r="B214" s="79" t="s">
        <v>381</v>
      </c>
      <c r="C214" s="82" t="s">
        <v>687</v>
      </c>
      <c r="D214" s="82" t="s">
        <v>405</v>
      </c>
      <c r="E214" s="82" t="s">
        <v>914</v>
      </c>
      <c r="F214" s="82" t="s">
        <v>929</v>
      </c>
      <c r="G214" s="85" t="s">
        <v>692</v>
      </c>
      <c r="H214" s="85" t="s">
        <v>692</v>
      </c>
      <c r="I214" s="82" t="s">
        <v>932</v>
      </c>
      <c r="J214" s="82" t="s">
        <v>933</v>
      </c>
      <c r="K214" s="82" t="s">
        <v>385</v>
      </c>
      <c r="L214" s="88" t="s">
        <v>310</v>
      </c>
      <c r="M214" s="54">
        <v>46670</v>
      </c>
      <c r="N214" s="55">
        <v>46693</v>
      </c>
    </row>
    <row r="215" spans="2:14" x14ac:dyDescent="0.25">
      <c r="B215" s="79" t="s">
        <v>381</v>
      </c>
      <c r="C215" s="82" t="s">
        <v>687</v>
      </c>
      <c r="D215" s="82" t="s">
        <v>405</v>
      </c>
      <c r="E215" s="82" t="s">
        <v>914</v>
      </c>
      <c r="F215" s="82" t="s">
        <v>929</v>
      </c>
      <c r="G215" s="85" t="s">
        <v>695</v>
      </c>
      <c r="H215" s="85" t="s">
        <v>695</v>
      </c>
      <c r="I215" s="82" t="s">
        <v>934</v>
      </c>
      <c r="J215" s="82" t="s">
        <v>935</v>
      </c>
      <c r="K215" s="82" t="s">
        <v>385</v>
      </c>
      <c r="L215" s="88" t="s">
        <v>310</v>
      </c>
      <c r="M215" s="54">
        <v>46737</v>
      </c>
      <c r="N215" s="55">
        <v>46761</v>
      </c>
    </row>
    <row r="216" spans="2:14" x14ac:dyDescent="0.25">
      <c r="B216" s="79" t="s">
        <v>381</v>
      </c>
      <c r="C216" s="82" t="s">
        <v>687</v>
      </c>
      <c r="D216" s="82" t="s">
        <v>405</v>
      </c>
      <c r="E216" s="82" t="s">
        <v>914</v>
      </c>
      <c r="F216" s="82" t="s">
        <v>929</v>
      </c>
      <c r="G216" s="85" t="s">
        <v>698</v>
      </c>
      <c r="H216" s="85" t="s">
        <v>698</v>
      </c>
      <c r="I216" s="82" t="s">
        <v>936</v>
      </c>
      <c r="J216" s="82" t="s">
        <v>937</v>
      </c>
      <c r="K216" s="82" t="s">
        <v>385</v>
      </c>
      <c r="L216" s="88" t="s">
        <v>310</v>
      </c>
      <c r="M216" s="54">
        <v>46751</v>
      </c>
      <c r="N216" s="55">
        <v>46775</v>
      </c>
    </row>
    <row r="217" spans="2:14" x14ac:dyDescent="0.25">
      <c r="B217" s="79" t="s">
        <v>381</v>
      </c>
      <c r="C217" s="82" t="s">
        <v>687</v>
      </c>
      <c r="D217" s="82" t="s">
        <v>417</v>
      </c>
      <c r="E217" s="82" t="s">
        <v>938</v>
      </c>
      <c r="F217" s="82" t="s">
        <v>689</v>
      </c>
      <c r="G217" s="85" t="s">
        <v>689</v>
      </c>
      <c r="H217" s="85" t="s">
        <v>689</v>
      </c>
      <c r="I217" s="82" t="s">
        <v>939</v>
      </c>
      <c r="J217" s="82" t="s">
        <v>940</v>
      </c>
      <c r="K217" s="82" t="s">
        <v>385</v>
      </c>
      <c r="L217" s="88" t="s">
        <v>317</v>
      </c>
      <c r="M217" s="54">
        <v>46642</v>
      </c>
      <c r="N217" s="55">
        <v>46674</v>
      </c>
    </row>
    <row r="218" spans="2:14" x14ac:dyDescent="0.25">
      <c r="B218" s="79" t="s">
        <v>381</v>
      </c>
      <c r="C218" s="82" t="s">
        <v>687</v>
      </c>
      <c r="D218" s="82" t="s">
        <v>417</v>
      </c>
      <c r="E218" s="82" t="s">
        <v>938</v>
      </c>
      <c r="F218" s="82" t="s">
        <v>692</v>
      </c>
      <c r="G218" s="85" t="s">
        <v>692</v>
      </c>
      <c r="H218" s="85" t="s">
        <v>692</v>
      </c>
      <c r="I218" s="82" t="s">
        <v>941</v>
      </c>
      <c r="J218" s="82" t="s">
        <v>942</v>
      </c>
      <c r="K218" s="82" t="s">
        <v>385</v>
      </c>
      <c r="L218" s="88" t="s">
        <v>310</v>
      </c>
      <c r="M218" s="54">
        <v>46705</v>
      </c>
      <c r="N218" s="55">
        <v>46728</v>
      </c>
    </row>
    <row r="219" spans="2:14" x14ac:dyDescent="0.25">
      <c r="B219" s="79" t="s">
        <v>381</v>
      </c>
      <c r="C219" s="82" t="s">
        <v>687</v>
      </c>
      <c r="D219" s="82" t="s">
        <v>417</v>
      </c>
      <c r="E219" s="82" t="s">
        <v>938</v>
      </c>
      <c r="F219" s="82" t="s">
        <v>943</v>
      </c>
      <c r="G219" s="85" t="s">
        <v>943</v>
      </c>
      <c r="H219" s="85" t="s">
        <v>943</v>
      </c>
      <c r="I219" s="82" t="s">
        <v>944</v>
      </c>
      <c r="J219" s="82" t="s">
        <v>945</v>
      </c>
      <c r="K219" s="82" t="s">
        <v>385</v>
      </c>
      <c r="L219" s="88" t="s">
        <v>317</v>
      </c>
      <c r="M219" s="54">
        <v>46743</v>
      </c>
      <c r="N219" s="55">
        <v>46775</v>
      </c>
    </row>
    <row r="220" spans="2:14" x14ac:dyDescent="0.25">
      <c r="B220" s="79" t="s">
        <v>381</v>
      </c>
      <c r="C220" s="82" t="s">
        <v>687</v>
      </c>
      <c r="D220" s="82" t="s">
        <v>417</v>
      </c>
      <c r="E220" s="82" t="s">
        <v>938</v>
      </c>
      <c r="F220" s="82" t="s">
        <v>946</v>
      </c>
      <c r="G220" s="85" t="s">
        <v>946</v>
      </c>
      <c r="H220" s="85" t="s">
        <v>946</v>
      </c>
      <c r="I220" s="82" t="s">
        <v>947</v>
      </c>
      <c r="J220" s="82" t="s">
        <v>948</v>
      </c>
      <c r="K220" s="82" t="s">
        <v>385</v>
      </c>
      <c r="L220" s="88" t="s">
        <v>310</v>
      </c>
      <c r="M220" s="54">
        <v>46751</v>
      </c>
      <c r="N220" s="55">
        <v>46775</v>
      </c>
    </row>
    <row r="221" spans="2:14" x14ac:dyDescent="0.25">
      <c r="B221" s="79" t="s">
        <v>381</v>
      </c>
      <c r="C221" s="82" t="s">
        <v>687</v>
      </c>
      <c r="D221" s="82" t="s">
        <v>417</v>
      </c>
      <c r="E221" s="82" t="s">
        <v>949</v>
      </c>
      <c r="F221" s="82" t="s">
        <v>689</v>
      </c>
      <c r="G221" s="85" t="s">
        <v>689</v>
      </c>
      <c r="H221" s="85" t="s">
        <v>689</v>
      </c>
      <c r="I221" s="82" t="s">
        <v>950</v>
      </c>
      <c r="J221" s="82" t="s">
        <v>951</v>
      </c>
      <c r="K221" s="82" t="s">
        <v>385</v>
      </c>
      <c r="L221" s="88" t="s">
        <v>317</v>
      </c>
      <c r="M221" s="54">
        <v>46676</v>
      </c>
      <c r="N221" s="55">
        <v>46707</v>
      </c>
    </row>
    <row r="222" spans="2:14" x14ac:dyDescent="0.25">
      <c r="B222" s="79" t="s">
        <v>381</v>
      </c>
      <c r="C222" s="82" t="s">
        <v>687</v>
      </c>
      <c r="D222" s="82" t="s">
        <v>417</v>
      </c>
      <c r="E222" s="82" t="s">
        <v>949</v>
      </c>
      <c r="F222" s="82" t="s">
        <v>692</v>
      </c>
      <c r="G222" s="85" t="s">
        <v>692</v>
      </c>
      <c r="H222" s="85" t="s">
        <v>692</v>
      </c>
      <c r="I222" s="82" t="s">
        <v>952</v>
      </c>
      <c r="J222" s="82" t="s">
        <v>953</v>
      </c>
      <c r="K222" s="82" t="s">
        <v>385</v>
      </c>
      <c r="L222" s="88" t="s">
        <v>310</v>
      </c>
      <c r="M222" s="54">
        <v>46722</v>
      </c>
      <c r="N222" s="55">
        <v>46746</v>
      </c>
    </row>
    <row r="223" spans="2:14" x14ac:dyDescent="0.25">
      <c r="B223" s="79" t="s">
        <v>381</v>
      </c>
      <c r="C223" s="82" t="s">
        <v>687</v>
      </c>
      <c r="D223" s="82" t="s">
        <v>417</v>
      </c>
      <c r="E223" s="82" t="s">
        <v>949</v>
      </c>
      <c r="F223" s="82" t="s">
        <v>943</v>
      </c>
      <c r="G223" s="85" t="s">
        <v>943</v>
      </c>
      <c r="H223" s="85" t="s">
        <v>943</v>
      </c>
      <c r="I223" s="82" t="s">
        <v>954</v>
      </c>
      <c r="J223" s="82" t="s">
        <v>955</v>
      </c>
      <c r="K223" s="82" t="s">
        <v>385</v>
      </c>
      <c r="L223" s="88" t="s">
        <v>310</v>
      </c>
      <c r="M223" s="54">
        <v>46776</v>
      </c>
      <c r="N223" s="55">
        <v>46799</v>
      </c>
    </row>
    <row r="224" spans="2:14" x14ac:dyDescent="0.25">
      <c r="B224" s="79" t="s">
        <v>381</v>
      </c>
      <c r="C224" s="82" t="s">
        <v>687</v>
      </c>
      <c r="D224" s="82" t="s">
        <v>417</v>
      </c>
      <c r="E224" s="82" t="s">
        <v>949</v>
      </c>
      <c r="F224" s="82" t="s">
        <v>946</v>
      </c>
      <c r="G224" s="85" t="s">
        <v>946</v>
      </c>
      <c r="H224" s="85" t="s">
        <v>946</v>
      </c>
      <c r="I224" s="82" t="s">
        <v>956</v>
      </c>
      <c r="J224" s="82" t="s">
        <v>957</v>
      </c>
      <c r="K224" s="82" t="s">
        <v>385</v>
      </c>
      <c r="L224" s="88" t="s">
        <v>310</v>
      </c>
      <c r="M224" s="54">
        <v>46761</v>
      </c>
      <c r="N224" s="55">
        <v>46784</v>
      </c>
    </row>
    <row r="225" spans="2:14" x14ac:dyDescent="0.25">
      <c r="B225" s="79" t="s">
        <v>381</v>
      </c>
      <c r="C225" s="82" t="s">
        <v>687</v>
      </c>
      <c r="D225" s="82" t="s">
        <v>958</v>
      </c>
      <c r="E225" s="82" t="s">
        <v>689</v>
      </c>
      <c r="F225" s="82" t="s">
        <v>689</v>
      </c>
      <c r="G225" s="85" t="s">
        <v>689</v>
      </c>
      <c r="H225" s="85" t="s">
        <v>689</v>
      </c>
      <c r="I225" s="82" t="s">
        <v>959</v>
      </c>
      <c r="J225" s="82" t="s">
        <v>960</v>
      </c>
      <c r="K225" s="82" t="s">
        <v>385</v>
      </c>
      <c r="L225" s="88" t="s">
        <v>317</v>
      </c>
      <c r="M225" s="54">
        <v>46722</v>
      </c>
      <c r="N225" s="55">
        <v>46754</v>
      </c>
    </row>
    <row r="226" spans="2:14" x14ac:dyDescent="0.25">
      <c r="B226" s="79" t="s">
        <v>381</v>
      </c>
      <c r="C226" s="82" t="s">
        <v>687</v>
      </c>
      <c r="D226" s="82" t="s">
        <v>958</v>
      </c>
      <c r="E226" s="82" t="s">
        <v>692</v>
      </c>
      <c r="F226" s="82" t="s">
        <v>692</v>
      </c>
      <c r="G226" s="85" t="s">
        <v>692</v>
      </c>
      <c r="H226" s="85" t="s">
        <v>692</v>
      </c>
      <c r="I226" s="82" t="s">
        <v>961</v>
      </c>
      <c r="J226" s="82" t="s">
        <v>962</v>
      </c>
      <c r="K226" s="82" t="s">
        <v>385</v>
      </c>
      <c r="L226" s="88" t="s">
        <v>214</v>
      </c>
      <c r="M226" s="54">
        <v>46784</v>
      </c>
      <c r="N226" s="55">
        <v>46799</v>
      </c>
    </row>
    <row r="227" spans="2:14" x14ac:dyDescent="0.25">
      <c r="B227" s="79" t="s">
        <v>381</v>
      </c>
      <c r="C227" s="82" t="s">
        <v>687</v>
      </c>
      <c r="D227" s="82" t="s">
        <v>958</v>
      </c>
      <c r="E227" s="82" t="s">
        <v>695</v>
      </c>
      <c r="F227" s="82" t="s">
        <v>695</v>
      </c>
      <c r="G227" s="85" t="s">
        <v>695</v>
      </c>
      <c r="H227" s="85" t="s">
        <v>695</v>
      </c>
      <c r="I227" s="82" t="s">
        <v>963</v>
      </c>
      <c r="J227" s="82" t="s">
        <v>964</v>
      </c>
      <c r="K227" s="82" t="s">
        <v>385</v>
      </c>
      <c r="L227" s="88" t="s">
        <v>214</v>
      </c>
      <c r="M227" s="54">
        <v>46814</v>
      </c>
      <c r="N227" s="55">
        <v>46830</v>
      </c>
    </row>
    <row r="228" spans="2:14" x14ac:dyDescent="0.25">
      <c r="B228" s="79" t="s">
        <v>381</v>
      </c>
      <c r="C228" s="82" t="s">
        <v>687</v>
      </c>
      <c r="D228" s="82" t="s">
        <v>958</v>
      </c>
      <c r="E228" s="82" t="s">
        <v>698</v>
      </c>
      <c r="F228" s="82" t="s">
        <v>698</v>
      </c>
      <c r="G228" s="85" t="s">
        <v>698</v>
      </c>
      <c r="H228" s="85" t="s">
        <v>698</v>
      </c>
      <c r="I228" s="82" t="s">
        <v>965</v>
      </c>
      <c r="J228" s="82" t="s">
        <v>966</v>
      </c>
      <c r="K228" s="82" t="s">
        <v>385</v>
      </c>
      <c r="L228" s="88" t="s">
        <v>214</v>
      </c>
      <c r="M228" s="54">
        <v>46814</v>
      </c>
      <c r="N228" s="55">
        <v>46830</v>
      </c>
    </row>
    <row r="229" spans="2:14" x14ac:dyDescent="0.25">
      <c r="B229" s="79" t="s">
        <v>381</v>
      </c>
      <c r="C229" s="82" t="s">
        <v>967</v>
      </c>
      <c r="D229" s="82" t="s">
        <v>967</v>
      </c>
      <c r="E229" s="82" t="s">
        <v>967</v>
      </c>
      <c r="F229" s="82" t="s">
        <v>967</v>
      </c>
      <c r="G229" s="85" t="s">
        <v>967</v>
      </c>
      <c r="H229" s="85" t="s">
        <v>967</v>
      </c>
      <c r="I229" s="82" t="s">
        <v>968</v>
      </c>
      <c r="J229" s="82" t="s">
        <v>969</v>
      </c>
      <c r="K229" s="82" t="s">
        <v>385</v>
      </c>
      <c r="L229" s="88" t="s">
        <v>317</v>
      </c>
      <c r="M229" s="54">
        <v>46559</v>
      </c>
      <c r="N229" s="55">
        <v>46590</v>
      </c>
    </row>
    <row r="230" spans="2:14" x14ac:dyDescent="0.25">
      <c r="B230" s="79" t="s">
        <v>381</v>
      </c>
      <c r="C230" s="82" t="s">
        <v>970</v>
      </c>
      <c r="D230" s="82" t="s">
        <v>971</v>
      </c>
      <c r="E230" s="82" t="s">
        <v>972</v>
      </c>
      <c r="F230" s="82" t="s">
        <v>400</v>
      </c>
      <c r="G230" s="85" t="s">
        <v>400</v>
      </c>
      <c r="H230" s="85" t="s">
        <v>400</v>
      </c>
      <c r="I230" s="82" t="s">
        <v>973</v>
      </c>
      <c r="J230" s="82" t="s">
        <v>974</v>
      </c>
      <c r="K230" s="82" t="s">
        <v>385</v>
      </c>
      <c r="L230" s="88" t="s">
        <v>310</v>
      </c>
      <c r="M230" s="54">
        <v>46568</v>
      </c>
      <c r="N230" s="55">
        <v>46592</v>
      </c>
    </row>
    <row r="231" spans="2:14" x14ac:dyDescent="0.25">
      <c r="B231" s="79" t="s">
        <v>381</v>
      </c>
      <c r="C231" s="82" t="s">
        <v>970</v>
      </c>
      <c r="D231" s="82" t="s">
        <v>971</v>
      </c>
      <c r="E231" s="82" t="s">
        <v>972</v>
      </c>
      <c r="F231" s="82" t="s">
        <v>405</v>
      </c>
      <c r="G231" s="85" t="s">
        <v>975</v>
      </c>
      <c r="H231" s="85" t="s">
        <v>975</v>
      </c>
      <c r="I231" s="82" t="s">
        <v>976</v>
      </c>
      <c r="J231" s="82" t="s">
        <v>977</v>
      </c>
      <c r="K231" s="82" t="s">
        <v>385</v>
      </c>
      <c r="L231" s="88" t="s">
        <v>310</v>
      </c>
      <c r="M231" s="54">
        <v>46722</v>
      </c>
      <c r="N231" s="55">
        <v>46746</v>
      </c>
    </row>
    <row r="232" spans="2:14" x14ac:dyDescent="0.25">
      <c r="B232" s="79" t="s">
        <v>381</v>
      </c>
      <c r="C232" s="82" t="s">
        <v>970</v>
      </c>
      <c r="D232" s="82" t="s">
        <v>971</v>
      </c>
      <c r="E232" s="82" t="s">
        <v>972</v>
      </c>
      <c r="F232" s="82" t="s">
        <v>405</v>
      </c>
      <c r="G232" s="85" t="s">
        <v>978</v>
      </c>
      <c r="H232" s="85" t="s">
        <v>978</v>
      </c>
      <c r="I232" s="82" t="s">
        <v>979</v>
      </c>
      <c r="J232" s="82" t="s">
        <v>980</v>
      </c>
      <c r="K232" s="82" t="s">
        <v>385</v>
      </c>
      <c r="L232" s="88" t="s">
        <v>310</v>
      </c>
      <c r="M232" s="54">
        <v>46722</v>
      </c>
      <c r="N232" s="55">
        <v>46746</v>
      </c>
    </row>
    <row r="233" spans="2:14" x14ac:dyDescent="0.25">
      <c r="B233" s="79" t="s">
        <v>381</v>
      </c>
      <c r="C233" s="82" t="s">
        <v>970</v>
      </c>
      <c r="D233" s="82" t="s">
        <v>971</v>
      </c>
      <c r="E233" s="82" t="s">
        <v>972</v>
      </c>
      <c r="F233" s="82" t="s">
        <v>405</v>
      </c>
      <c r="G233" s="85" t="s">
        <v>981</v>
      </c>
      <c r="H233" s="85" t="s">
        <v>981</v>
      </c>
      <c r="I233" s="82" t="s">
        <v>982</v>
      </c>
      <c r="J233" s="82" t="s">
        <v>983</v>
      </c>
      <c r="K233" s="82" t="s">
        <v>385</v>
      </c>
      <c r="L233" s="88" t="s">
        <v>310</v>
      </c>
      <c r="M233" s="54">
        <v>46678</v>
      </c>
      <c r="N233" s="55">
        <v>46701</v>
      </c>
    </row>
    <row r="234" spans="2:14" x14ac:dyDescent="0.25">
      <c r="B234" s="79" t="s">
        <v>381</v>
      </c>
      <c r="C234" s="82" t="s">
        <v>970</v>
      </c>
      <c r="D234" s="82" t="s">
        <v>971</v>
      </c>
      <c r="E234" s="82" t="s">
        <v>972</v>
      </c>
      <c r="F234" s="82" t="s">
        <v>405</v>
      </c>
      <c r="G234" s="85" t="s">
        <v>984</v>
      </c>
      <c r="H234" s="85" t="s">
        <v>984</v>
      </c>
      <c r="I234" s="82" t="s">
        <v>985</v>
      </c>
      <c r="J234" s="82" t="s">
        <v>986</v>
      </c>
      <c r="K234" s="82" t="s">
        <v>385</v>
      </c>
      <c r="L234" s="88" t="s">
        <v>310</v>
      </c>
      <c r="M234" s="54">
        <v>46730</v>
      </c>
      <c r="N234" s="55">
        <v>46754</v>
      </c>
    </row>
    <row r="235" spans="2:14" x14ac:dyDescent="0.25">
      <c r="B235" s="79" t="s">
        <v>381</v>
      </c>
      <c r="C235" s="82" t="s">
        <v>970</v>
      </c>
      <c r="D235" s="82" t="s">
        <v>971</v>
      </c>
      <c r="E235" s="82" t="s">
        <v>972</v>
      </c>
      <c r="F235" s="82" t="s">
        <v>405</v>
      </c>
      <c r="G235" s="85" t="s">
        <v>987</v>
      </c>
      <c r="H235" s="85" t="s">
        <v>987</v>
      </c>
      <c r="I235" s="82" t="s">
        <v>988</v>
      </c>
      <c r="J235" s="82" t="s">
        <v>989</v>
      </c>
      <c r="K235" s="82" t="s">
        <v>385</v>
      </c>
      <c r="L235" s="88" t="s">
        <v>317</v>
      </c>
      <c r="M235" s="54">
        <v>46722</v>
      </c>
      <c r="N235" s="55">
        <v>46754</v>
      </c>
    </row>
    <row r="236" spans="2:14" x14ac:dyDescent="0.25">
      <c r="B236" s="79" t="s">
        <v>381</v>
      </c>
      <c r="C236" s="82" t="s">
        <v>970</v>
      </c>
      <c r="D236" s="82" t="s">
        <v>971</v>
      </c>
      <c r="E236" s="82" t="s">
        <v>990</v>
      </c>
      <c r="F236" s="82" t="s">
        <v>400</v>
      </c>
      <c r="G236" s="85" t="s">
        <v>400</v>
      </c>
      <c r="H236" s="85" t="s">
        <v>400</v>
      </c>
      <c r="I236" s="82" t="s">
        <v>991</v>
      </c>
      <c r="J236" s="82" t="s">
        <v>992</v>
      </c>
      <c r="K236" s="82" t="s">
        <v>385</v>
      </c>
      <c r="L236" s="88" t="s">
        <v>310</v>
      </c>
      <c r="M236" s="54">
        <v>46607</v>
      </c>
      <c r="N236" s="55">
        <v>46630</v>
      </c>
    </row>
    <row r="237" spans="2:14" x14ac:dyDescent="0.25">
      <c r="B237" s="79" t="s">
        <v>381</v>
      </c>
      <c r="C237" s="82" t="s">
        <v>970</v>
      </c>
      <c r="D237" s="82" t="s">
        <v>993</v>
      </c>
      <c r="E237" s="82" t="s">
        <v>400</v>
      </c>
      <c r="F237" s="82" t="s">
        <v>400</v>
      </c>
      <c r="G237" s="85" t="s">
        <v>400</v>
      </c>
      <c r="H237" s="85" t="s">
        <v>400</v>
      </c>
      <c r="I237" s="82" t="s">
        <v>994</v>
      </c>
      <c r="J237" s="82" t="s">
        <v>995</v>
      </c>
      <c r="K237" s="82" t="s">
        <v>385</v>
      </c>
      <c r="L237" s="88" t="s">
        <v>309</v>
      </c>
      <c r="M237" s="54">
        <v>46567</v>
      </c>
      <c r="N237" s="55">
        <v>46589</v>
      </c>
    </row>
    <row r="238" spans="2:14" x14ac:dyDescent="0.25">
      <c r="B238" s="79" t="s">
        <v>381</v>
      </c>
      <c r="C238" s="82" t="s">
        <v>970</v>
      </c>
      <c r="D238" s="82" t="s">
        <v>993</v>
      </c>
      <c r="E238" s="82" t="s">
        <v>405</v>
      </c>
      <c r="F238" s="82" t="s">
        <v>406</v>
      </c>
      <c r="G238" s="85" t="s">
        <v>406</v>
      </c>
      <c r="H238" s="85" t="s">
        <v>406</v>
      </c>
      <c r="I238" s="82" t="s">
        <v>996</v>
      </c>
      <c r="J238" s="82" t="s">
        <v>997</v>
      </c>
      <c r="K238" s="82" t="s">
        <v>385</v>
      </c>
      <c r="L238" s="88" t="s">
        <v>310</v>
      </c>
      <c r="M238" s="54">
        <v>46665</v>
      </c>
      <c r="N238" s="55">
        <v>46688</v>
      </c>
    </row>
    <row r="239" spans="2:14" x14ac:dyDescent="0.25">
      <c r="B239" s="79" t="s">
        <v>381</v>
      </c>
      <c r="C239" s="82" t="s">
        <v>970</v>
      </c>
      <c r="D239" s="82" t="s">
        <v>993</v>
      </c>
      <c r="E239" s="82" t="s">
        <v>405</v>
      </c>
      <c r="F239" s="82" t="s">
        <v>408</v>
      </c>
      <c r="G239" s="85" t="s">
        <v>408</v>
      </c>
      <c r="H239" s="85" t="s">
        <v>408</v>
      </c>
      <c r="I239" s="82" t="s">
        <v>998</v>
      </c>
      <c r="J239" s="82" t="s">
        <v>999</v>
      </c>
      <c r="K239" s="82" t="s">
        <v>385</v>
      </c>
      <c r="L239" s="88" t="s">
        <v>310</v>
      </c>
      <c r="M239" s="54">
        <v>46665</v>
      </c>
      <c r="N239" s="55">
        <v>46688</v>
      </c>
    </row>
    <row r="240" spans="2:14" x14ac:dyDescent="0.25">
      <c r="B240" s="79" t="s">
        <v>381</v>
      </c>
      <c r="C240" s="82" t="s">
        <v>970</v>
      </c>
      <c r="D240" s="82" t="s">
        <v>993</v>
      </c>
      <c r="E240" s="82" t="s">
        <v>405</v>
      </c>
      <c r="F240" s="82" t="s">
        <v>411</v>
      </c>
      <c r="G240" s="85" t="s">
        <v>411</v>
      </c>
      <c r="H240" s="85" t="s">
        <v>411</v>
      </c>
      <c r="I240" s="82" t="s">
        <v>1000</v>
      </c>
      <c r="J240" s="82" t="s">
        <v>1001</v>
      </c>
      <c r="K240" s="82" t="s">
        <v>385</v>
      </c>
      <c r="L240" s="88" t="s">
        <v>310</v>
      </c>
      <c r="M240" s="54">
        <v>46590</v>
      </c>
      <c r="N240" s="55">
        <v>46614</v>
      </c>
    </row>
    <row r="241" spans="2:14" x14ac:dyDescent="0.25">
      <c r="B241" s="79" t="s">
        <v>381</v>
      </c>
      <c r="C241" s="82" t="s">
        <v>970</v>
      </c>
      <c r="D241" s="82" t="s">
        <v>993</v>
      </c>
      <c r="E241" s="82" t="s">
        <v>405</v>
      </c>
      <c r="F241" s="82" t="s">
        <v>413</v>
      </c>
      <c r="G241" s="85" t="s">
        <v>413</v>
      </c>
      <c r="H241" s="85" t="s">
        <v>413</v>
      </c>
      <c r="I241" s="82" t="s">
        <v>1002</v>
      </c>
      <c r="J241" s="82" t="s">
        <v>1003</v>
      </c>
      <c r="K241" s="82" t="s">
        <v>385</v>
      </c>
      <c r="L241" s="88" t="s">
        <v>310</v>
      </c>
      <c r="M241" s="54">
        <v>46615</v>
      </c>
      <c r="N241" s="55">
        <v>46638</v>
      </c>
    </row>
    <row r="242" spans="2:14" x14ac:dyDescent="0.25">
      <c r="B242" s="79" t="s">
        <v>381</v>
      </c>
      <c r="C242" s="82" t="s">
        <v>970</v>
      </c>
      <c r="D242" s="82" t="s">
        <v>993</v>
      </c>
      <c r="E242" s="82" t="s">
        <v>405</v>
      </c>
      <c r="F242" s="82" t="s">
        <v>415</v>
      </c>
      <c r="G242" s="85" t="s">
        <v>415</v>
      </c>
      <c r="H242" s="85" t="s">
        <v>415</v>
      </c>
      <c r="I242" s="82" t="s">
        <v>1004</v>
      </c>
      <c r="J242" s="82" t="s">
        <v>1005</v>
      </c>
      <c r="K242" s="82" t="s">
        <v>385</v>
      </c>
      <c r="L242" s="88" t="s">
        <v>310</v>
      </c>
      <c r="M242" s="54">
        <v>46639</v>
      </c>
      <c r="N242" s="55">
        <v>46664</v>
      </c>
    </row>
    <row r="243" spans="2:14" x14ac:dyDescent="0.25">
      <c r="B243" s="79" t="s">
        <v>381</v>
      </c>
      <c r="C243" s="82" t="s">
        <v>970</v>
      </c>
      <c r="D243" s="82" t="s">
        <v>993</v>
      </c>
      <c r="E243" s="82" t="s">
        <v>958</v>
      </c>
      <c r="F243" s="82" t="s">
        <v>958</v>
      </c>
      <c r="G243" s="85" t="s">
        <v>958</v>
      </c>
      <c r="H243" s="85" t="s">
        <v>958</v>
      </c>
      <c r="I243" s="82" t="s">
        <v>1006</v>
      </c>
      <c r="J243" s="82" t="s">
        <v>1007</v>
      </c>
      <c r="K243" s="82" t="s">
        <v>385</v>
      </c>
      <c r="L243" s="88" t="s">
        <v>317</v>
      </c>
      <c r="M243" s="54">
        <v>46704</v>
      </c>
      <c r="N243" s="55">
        <v>46735</v>
      </c>
    </row>
    <row r="244" spans="2:14" x14ac:dyDescent="0.25">
      <c r="B244" s="79" t="s">
        <v>381</v>
      </c>
      <c r="C244" s="82" t="s">
        <v>970</v>
      </c>
      <c r="D244" s="82" t="s">
        <v>1008</v>
      </c>
      <c r="E244" s="82" t="s">
        <v>1009</v>
      </c>
      <c r="F244" s="82" t="s">
        <v>1009</v>
      </c>
      <c r="G244" s="85" t="s">
        <v>1009</v>
      </c>
      <c r="H244" s="85" t="s">
        <v>1009</v>
      </c>
      <c r="I244" s="82" t="s">
        <v>1010</v>
      </c>
      <c r="J244" s="82" t="s">
        <v>1011</v>
      </c>
      <c r="K244" s="82" t="s">
        <v>385</v>
      </c>
      <c r="L244" s="88" t="s">
        <v>214</v>
      </c>
      <c r="M244" s="54">
        <v>46723</v>
      </c>
      <c r="N244" s="55">
        <v>46739</v>
      </c>
    </row>
    <row r="245" spans="2:14" x14ac:dyDescent="0.25">
      <c r="B245" s="79" t="s">
        <v>381</v>
      </c>
      <c r="C245" s="82" t="s">
        <v>970</v>
      </c>
      <c r="D245" s="82" t="s">
        <v>1008</v>
      </c>
      <c r="E245" s="82" t="s">
        <v>1012</v>
      </c>
      <c r="F245" s="82" t="s">
        <v>1012</v>
      </c>
      <c r="G245" s="85" t="s">
        <v>1012</v>
      </c>
      <c r="H245" s="85" t="s">
        <v>1012</v>
      </c>
      <c r="I245" s="82" t="s">
        <v>1013</v>
      </c>
      <c r="J245" s="82" t="s">
        <v>1014</v>
      </c>
      <c r="K245" s="82" t="s">
        <v>385</v>
      </c>
      <c r="L245" s="88" t="s">
        <v>317</v>
      </c>
      <c r="M245" s="54">
        <v>46350</v>
      </c>
      <c r="N245" s="55">
        <v>46382</v>
      </c>
    </row>
    <row r="246" spans="2:14" x14ac:dyDescent="0.25">
      <c r="B246" s="79" t="s">
        <v>381</v>
      </c>
      <c r="C246" s="82" t="s">
        <v>970</v>
      </c>
      <c r="D246" s="82" t="s">
        <v>1008</v>
      </c>
      <c r="E246" s="82" t="s">
        <v>1015</v>
      </c>
      <c r="F246" s="82" t="s">
        <v>1015</v>
      </c>
      <c r="G246" s="85" t="s">
        <v>1015</v>
      </c>
      <c r="H246" s="85" t="s">
        <v>1015</v>
      </c>
      <c r="I246" s="82" t="s">
        <v>1016</v>
      </c>
      <c r="J246" s="82" t="s">
        <v>1017</v>
      </c>
      <c r="K246" s="82" t="s">
        <v>385</v>
      </c>
      <c r="L246" s="88" t="s">
        <v>317</v>
      </c>
      <c r="M246" s="54">
        <v>46317</v>
      </c>
      <c r="N246" s="55">
        <v>46349</v>
      </c>
    </row>
    <row r="247" spans="2:14" x14ac:dyDescent="0.25">
      <c r="B247" s="79" t="s">
        <v>381</v>
      </c>
      <c r="C247" s="82" t="s">
        <v>970</v>
      </c>
      <c r="D247" s="82" t="s">
        <v>1008</v>
      </c>
      <c r="E247" s="82" t="s">
        <v>1018</v>
      </c>
      <c r="F247" s="82" t="s">
        <v>1018</v>
      </c>
      <c r="G247" s="85" t="s">
        <v>1018</v>
      </c>
      <c r="H247" s="85" t="s">
        <v>1018</v>
      </c>
      <c r="I247" s="82" t="s">
        <v>1019</v>
      </c>
      <c r="J247" s="82" t="s">
        <v>1020</v>
      </c>
      <c r="K247" s="82" t="s">
        <v>385</v>
      </c>
      <c r="L247" s="88" t="s">
        <v>317</v>
      </c>
      <c r="M247" s="54">
        <v>46284</v>
      </c>
      <c r="N247" s="55">
        <v>46316</v>
      </c>
    </row>
    <row r="248" spans="2:14" x14ac:dyDescent="0.25">
      <c r="B248" s="79" t="s">
        <v>381</v>
      </c>
      <c r="C248" s="82" t="s">
        <v>970</v>
      </c>
      <c r="D248" s="82" t="s">
        <v>1008</v>
      </c>
      <c r="E248" s="82" t="s">
        <v>1021</v>
      </c>
      <c r="F248" s="82" t="s">
        <v>1021</v>
      </c>
      <c r="G248" s="85" t="s">
        <v>1021</v>
      </c>
      <c r="H248" s="85" t="s">
        <v>1021</v>
      </c>
      <c r="I248" s="82" t="s">
        <v>1022</v>
      </c>
      <c r="J248" s="82" t="s">
        <v>1023</v>
      </c>
      <c r="K248" s="82" t="s">
        <v>385</v>
      </c>
      <c r="L248" s="88" t="s">
        <v>317</v>
      </c>
      <c r="M248" s="54">
        <v>46397</v>
      </c>
      <c r="N248" s="55">
        <v>46428</v>
      </c>
    </row>
    <row r="249" spans="2:14" x14ac:dyDescent="0.25">
      <c r="B249" s="79" t="s">
        <v>381</v>
      </c>
      <c r="C249" s="82" t="s">
        <v>970</v>
      </c>
      <c r="D249" s="82" t="s">
        <v>1008</v>
      </c>
      <c r="E249" s="82" t="s">
        <v>1024</v>
      </c>
      <c r="F249" s="82" t="s">
        <v>400</v>
      </c>
      <c r="G249" s="85" t="s">
        <v>400</v>
      </c>
      <c r="H249" s="85" t="s">
        <v>400</v>
      </c>
      <c r="I249" s="82" t="s">
        <v>1025</v>
      </c>
      <c r="J249" s="82" t="s">
        <v>1026</v>
      </c>
      <c r="K249" s="82" t="s">
        <v>385</v>
      </c>
      <c r="L249" s="88" t="s">
        <v>317</v>
      </c>
      <c r="M249" s="54">
        <v>46508</v>
      </c>
      <c r="N249" s="55">
        <v>46544</v>
      </c>
    </row>
    <row r="250" spans="2:14" x14ac:dyDescent="0.25">
      <c r="B250" s="79" t="s">
        <v>381</v>
      </c>
      <c r="C250" s="82" t="s">
        <v>970</v>
      </c>
      <c r="D250" s="82" t="s">
        <v>1008</v>
      </c>
      <c r="E250" s="82" t="s">
        <v>1024</v>
      </c>
      <c r="F250" s="82" t="s">
        <v>405</v>
      </c>
      <c r="G250" s="85" t="s">
        <v>406</v>
      </c>
      <c r="H250" s="85" t="s">
        <v>406</v>
      </c>
      <c r="I250" s="82" t="s">
        <v>1027</v>
      </c>
      <c r="J250" s="82" t="s">
        <v>1028</v>
      </c>
      <c r="K250" s="82" t="s">
        <v>385</v>
      </c>
      <c r="L250" s="88" t="s">
        <v>317</v>
      </c>
      <c r="M250" s="54">
        <v>46677</v>
      </c>
      <c r="N250" s="55">
        <v>46708</v>
      </c>
    </row>
    <row r="251" spans="2:14" x14ac:dyDescent="0.25">
      <c r="B251" s="79" t="s">
        <v>381</v>
      </c>
      <c r="C251" s="82" t="s">
        <v>970</v>
      </c>
      <c r="D251" s="82" t="s">
        <v>1008</v>
      </c>
      <c r="E251" s="82" t="s">
        <v>1024</v>
      </c>
      <c r="F251" s="82" t="s">
        <v>405</v>
      </c>
      <c r="G251" s="85" t="s">
        <v>408</v>
      </c>
      <c r="H251" s="85" t="s">
        <v>408</v>
      </c>
      <c r="I251" s="82" t="s">
        <v>1029</v>
      </c>
      <c r="J251" s="82" t="s">
        <v>1030</v>
      </c>
      <c r="K251" s="82" t="s">
        <v>385</v>
      </c>
      <c r="L251" s="88" t="s">
        <v>317</v>
      </c>
      <c r="M251" s="54">
        <v>46643</v>
      </c>
      <c r="N251" s="55">
        <v>46676</v>
      </c>
    </row>
    <row r="252" spans="2:14" x14ac:dyDescent="0.25">
      <c r="B252" s="79" t="s">
        <v>381</v>
      </c>
      <c r="C252" s="82" t="s">
        <v>970</v>
      </c>
      <c r="D252" s="82" t="s">
        <v>1008</v>
      </c>
      <c r="E252" s="82" t="s">
        <v>1024</v>
      </c>
      <c r="F252" s="82" t="s">
        <v>405</v>
      </c>
      <c r="G252" s="85" t="s">
        <v>1031</v>
      </c>
      <c r="H252" s="85" t="s">
        <v>1031</v>
      </c>
      <c r="I252" s="82" t="s">
        <v>1032</v>
      </c>
      <c r="J252" s="82" t="s">
        <v>1033</v>
      </c>
      <c r="K252" s="82" t="s">
        <v>385</v>
      </c>
      <c r="L252" s="88" t="s">
        <v>317</v>
      </c>
      <c r="M252" s="54">
        <v>46545</v>
      </c>
      <c r="N252" s="55">
        <v>46576</v>
      </c>
    </row>
    <row r="253" spans="2:14" x14ac:dyDescent="0.25">
      <c r="B253" s="79" t="s">
        <v>381</v>
      </c>
      <c r="C253" s="82" t="s">
        <v>970</v>
      </c>
      <c r="D253" s="82" t="s">
        <v>1008</v>
      </c>
      <c r="E253" s="82" t="s">
        <v>1024</v>
      </c>
      <c r="F253" s="82" t="s">
        <v>405</v>
      </c>
      <c r="G253" s="85" t="s">
        <v>413</v>
      </c>
      <c r="H253" s="85" t="s">
        <v>413</v>
      </c>
      <c r="I253" s="82" t="s">
        <v>1034</v>
      </c>
      <c r="J253" s="82" t="s">
        <v>1035</v>
      </c>
      <c r="K253" s="82" t="s">
        <v>385</v>
      </c>
      <c r="L253" s="88" t="s">
        <v>317</v>
      </c>
      <c r="M253" s="54">
        <v>46578</v>
      </c>
      <c r="N253" s="55">
        <v>46609</v>
      </c>
    </row>
    <row r="254" spans="2:14" x14ac:dyDescent="0.25">
      <c r="B254" s="79" t="s">
        <v>381</v>
      </c>
      <c r="C254" s="82" t="s">
        <v>970</v>
      </c>
      <c r="D254" s="82" t="s">
        <v>1008</v>
      </c>
      <c r="E254" s="82" t="s">
        <v>1024</v>
      </c>
      <c r="F254" s="82" t="s">
        <v>405</v>
      </c>
      <c r="G254" s="85" t="s">
        <v>1036</v>
      </c>
      <c r="H254" s="85" t="s">
        <v>1036</v>
      </c>
      <c r="I254" s="82" t="s">
        <v>1037</v>
      </c>
      <c r="J254" s="82" t="s">
        <v>1038</v>
      </c>
      <c r="K254" s="82" t="s">
        <v>385</v>
      </c>
      <c r="L254" s="88" t="s">
        <v>317</v>
      </c>
      <c r="M254" s="54">
        <v>46610</v>
      </c>
      <c r="N254" s="55">
        <v>46642</v>
      </c>
    </row>
    <row r="255" spans="2:14" x14ac:dyDescent="0.25">
      <c r="B255" s="79" t="s">
        <v>381</v>
      </c>
      <c r="C255" s="82" t="s">
        <v>970</v>
      </c>
      <c r="D255" s="82" t="s">
        <v>1039</v>
      </c>
      <c r="E255" s="82" t="s">
        <v>400</v>
      </c>
      <c r="F255" s="82" t="s">
        <v>400</v>
      </c>
      <c r="G255" s="85" t="s">
        <v>400</v>
      </c>
      <c r="H255" s="85" t="s">
        <v>400</v>
      </c>
      <c r="I255" s="82" t="s">
        <v>1040</v>
      </c>
      <c r="J255" s="82" t="s">
        <v>1041</v>
      </c>
      <c r="K255" s="82" t="s">
        <v>385</v>
      </c>
      <c r="L255" s="88" t="s">
        <v>214</v>
      </c>
      <c r="M255" s="54">
        <v>46754</v>
      </c>
      <c r="N255" s="55">
        <v>46769</v>
      </c>
    </row>
    <row r="256" spans="2:14" x14ac:dyDescent="0.25">
      <c r="B256" s="79" t="s">
        <v>381</v>
      </c>
      <c r="C256" s="82" t="s">
        <v>970</v>
      </c>
      <c r="D256" s="82" t="s">
        <v>1039</v>
      </c>
      <c r="E256" s="82" t="s">
        <v>405</v>
      </c>
      <c r="F256" s="82" t="s">
        <v>406</v>
      </c>
      <c r="G256" s="85" t="s">
        <v>406</v>
      </c>
      <c r="H256" s="85" t="s">
        <v>406</v>
      </c>
      <c r="I256" s="82" t="s">
        <v>1042</v>
      </c>
      <c r="J256" s="82" t="s">
        <v>1043</v>
      </c>
      <c r="K256" s="82" t="s">
        <v>385</v>
      </c>
      <c r="L256" s="88" t="s">
        <v>214</v>
      </c>
      <c r="M256" s="54">
        <v>46754</v>
      </c>
      <c r="N256" s="55">
        <v>46769</v>
      </c>
    </row>
    <row r="257" spans="2:14" x14ac:dyDescent="0.25">
      <c r="B257" s="79" t="s">
        <v>381</v>
      </c>
      <c r="C257" s="82" t="s">
        <v>970</v>
      </c>
      <c r="D257" s="82" t="s">
        <v>1039</v>
      </c>
      <c r="E257" s="82" t="s">
        <v>405</v>
      </c>
      <c r="F257" s="82" t="s">
        <v>411</v>
      </c>
      <c r="G257" s="85" t="s">
        <v>411</v>
      </c>
      <c r="H257" s="85" t="s">
        <v>411</v>
      </c>
      <c r="I257" s="82" t="s">
        <v>1044</v>
      </c>
      <c r="J257" s="82" t="s">
        <v>1045</v>
      </c>
      <c r="K257" s="82" t="s">
        <v>385</v>
      </c>
      <c r="L257" s="88" t="s">
        <v>214</v>
      </c>
      <c r="M257" s="54">
        <v>46754</v>
      </c>
      <c r="N257" s="55">
        <v>46769</v>
      </c>
    </row>
    <row r="258" spans="2:14" x14ac:dyDescent="0.25">
      <c r="B258" s="79" t="s">
        <v>381</v>
      </c>
      <c r="C258" s="82" t="s">
        <v>970</v>
      </c>
      <c r="D258" s="82" t="s">
        <v>1039</v>
      </c>
      <c r="E258" s="82" t="s">
        <v>405</v>
      </c>
      <c r="F258" s="82" t="s">
        <v>413</v>
      </c>
      <c r="G258" s="85" t="s">
        <v>413</v>
      </c>
      <c r="H258" s="85" t="s">
        <v>413</v>
      </c>
      <c r="I258" s="82" t="s">
        <v>1046</v>
      </c>
      <c r="J258" s="82" t="s">
        <v>1047</v>
      </c>
      <c r="K258" s="82" t="s">
        <v>385</v>
      </c>
      <c r="L258" s="88" t="s">
        <v>214</v>
      </c>
      <c r="M258" s="54">
        <v>46754</v>
      </c>
      <c r="N258" s="55">
        <v>46769</v>
      </c>
    </row>
    <row r="259" spans="2:14" x14ac:dyDescent="0.25">
      <c r="B259" s="79" t="s">
        <v>381</v>
      </c>
      <c r="C259" s="82" t="s">
        <v>970</v>
      </c>
      <c r="D259" s="82" t="s">
        <v>1039</v>
      </c>
      <c r="E259" s="82" t="s">
        <v>405</v>
      </c>
      <c r="F259" s="82" t="s">
        <v>415</v>
      </c>
      <c r="G259" s="85" t="s">
        <v>415</v>
      </c>
      <c r="H259" s="85" t="s">
        <v>415</v>
      </c>
      <c r="I259" s="82" t="s">
        <v>1048</v>
      </c>
      <c r="J259" s="82" t="s">
        <v>1049</v>
      </c>
      <c r="K259" s="82" t="s">
        <v>385</v>
      </c>
      <c r="L259" s="88" t="s">
        <v>214</v>
      </c>
      <c r="M259" s="54">
        <v>46754</v>
      </c>
      <c r="N259" s="55">
        <v>46769</v>
      </c>
    </row>
    <row r="260" spans="2:14" x14ac:dyDescent="0.25">
      <c r="B260" s="79" t="s">
        <v>381</v>
      </c>
      <c r="C260" s="82" t="s">
        <v>970</v>
      </c>
      <c r="D260" s="82" t="s">
        <v>1050</v>
      </c>
      <c r="E260" s="82" t="s">
        <v>1050</v>
      </c>
      <c r="F260" s="82" t="s">
        <v>1050</v>
      </c>
      <c r="G260" s="85" t="s">
        <v>1050</v>
      </c>
      <c r="H260" s="85" t="s">
        <v>1050</v>
      </c>
      <c r="I260" s="82" t="s">
        <v>1051</v>
      </c>
      <c r="J260" s="82" t="s">
        <v>1052</v>
      </c>
      <c r="K260" s="82" t="s">
        <v>385</v>
      </c>
      <c r="L260" s="88" t="s">
        <v>214</v>
      </c>
      <c r="M260" s="54">
        <v>46784</v>
      </c>
      <c r="N260" s="55">
        <v>46799</v>
      </c>
    </row>
    <row r="261" spans="2:14" x14ac:dyDescent="0.25">
      <c r="B261" s="79" t="s">
        <v>381</v>
      </c>
      <c r="C261" s="82" t="s">
        <v>970</v>
      </c>
      <c r="D261" s="82" t="s">
        <v>1053</v>
      </c>
      <c r="E261" s="82" t="s">
        <v>1053</v>
      </c>
      <c r="F261" s="82" t="s">
        <v>1053</v>
      </c>
      <c r="G261" s="85" t="s">
        <v>1053</v>
      </c>
      <c r="H261" s="85" t="s">
        <v>1053</v>
      </c>
      <c r="I261" s="82" t="s">
        <v>1054</v>
      </c>
      <c r="J261" s="82" t="s">
        <v>1055</v>
      </c>
      <c r="K261" s="82" t="s">
        <v>385</v>
      </c>
      <c r="L261" s="88" t="s">
        <v>317</v>
      </c>
      <c r="M261" s="54">
        <v>46387</v>
      </c>
      <c r="N261" s="55">
        <v>46419</v>
      </c>
    </row>
    <row r="262" spans="2:14" x14ac:dyDescent="0.25">
      <c r="B262" s="79" t="s">
        <v>381</v>
      </c>
      <c r="C262" s="82" t="s">
        <v>1056</v>
      </c>
      <c r="D262" s="82" t="s">
        <v>400</v>
      </c>
      <c r="E262" s="82" t="s">
        <v>1057</v>
      </c>
      <c r="F262" s="82" t="s">
        <v>688</v>
      </c>
      <c r="G262" s="85" t="s">
        <v>688</v>
      </c>
      <c r="H262" s="85" t="s">
        <v>1058</v>
      </c>
      <c r="I262" s="82" t="s">
        <v>1059</v>
      </c>
      <c r="J262" s="82" t="s">
        <v>1060</v>
      </c>
      <c r="K262" s="82" t="s">
        <v>385</v>
      </c>
      <c r="L262" s="88" t="s">
        <v>214</v>
      </c>
      <c r="M262" s="54">
        <v>46020</v>
      </c>
      <c r="N262" s="55">
        <v>46035</v>
      </c>
    </row>
    <row r="263" spans="2:14" x14ac:dyDescent="0.25">
      <c r="B263" s="79" t="s">
        <v>381</v>
      </c>
      <c r="C263" s="82" t="s">
        <v>1056</v>
      </c>
      <c r="D263" s="82" t="s">
        <v>400</v>
      </c>
      <c r="E263" s="82" t="s">
        <v>1057</v>
      </c>
      <c r="F263" s="82" t="s">
        <v>688</v>
      </c>
      <c r="G263" s="85" t="s">
        <v>688</v>
      </c>
      <c r="H263" s="85" t="s">
        <v>1061</v>
      </c>
      <c r="I263" s="82" t="s">
        <v>1062</v>
      </c>
      <c r="J263" s="82" t="s">
        <v>1063</v>
      </c>
      <c r="K263" s="82" t="s">
        <v>385</v>
      </c>
      <c r="L263" s="88" t="s">
        <v>214</v>
      </c>
      <c r="M263" s="54">
        <v>46020</v>
      </c>
      <c r="N263" s="55">
        <v>46035</v>
      </c>
    </row>
    <row r="264" spans="2:14" x14ac:dyDescent="0.25">
      <c r="B264" s="79" t="s">
        <v>381</v>
      </c>
      <c r="C264" s="82" t="s">
        <v>1056</v>
      </c>
      <c r="D264" s="82" t="s">
        <v>400</v>
      </c>
      <c r="E264" s="82" t="s">
        <v>1057</v>
      </c>
      <c r="F264" s="82" t="s">
        <v>704</v>
      </c>
      <c r="G264" s="85" t="s">
        <v>704</v>
      </c>
      <c r="H264" s="85" t="s">
        <v>1058</v>
      </c>
      <c r="I264" s="82" t="s">
        <v>1064</v>
      </c>
      <c r="J264" s="82" t="s">
        <v>1065</v>
      </c>
      <c r="K264" s="82" t="s">
        <v>385</v>
      </c>
      <c r="L264" s="88" t="s">
        <v>226</v>
      </c>
      <c r="M264" s="54">
        <v>46076</v>
      </c>
      <c r="N264" s="55">
        <v>46096</v>
      </c>
    </row>
    <row r="265" spans="2:14" x14ac:dyDescent="0.25">
      <c r="B265" s="79" t="s">
        <v>381</v>
      </c>
      <c r="C265" s="82" t="s">
        <v>1056</v>
      </c>
      <c r="D265" s="82" t="s">
        <v>400</v>
      </c>
      <c r="E265" s="82" t="s">
        <v>1057</v>
      </c>
      <c r="F265" s="82" t="s">
        <v>704</v>
      </c>
      <c r="G265" s="85" t="s">
        <v>704</v>
      </c>
      <c r="H265" s="85" t="s">
        <v>1061</v>
      </c>
      <c r="I265" s="82" t="s">
        <v>1066</v>
      </c>
      <c r="J265" s="82" t="s">
        <v>1067</v>
      </c>
      <c r="K265" s="82" t="s">
        <v>385</v>
      </c>
      <c r="L265" s="88" t="s">
        <v>226</v>
      </c>
      <c r="M265" s="54">
        <v>46076</v>
      </c>
      <c r="N265" s="55">
        <v>46096</v>
      </c>
    </row>
    <row r="266" spans="2:14" x14ac:dyDescent="0.25">
      <c r="B266" s="79" t="s">
        <v>381</v>
      </c>
      <c r="C266" s="82" t="s">
        <v>1056</v>
      </c>
      <c r="D266" s="82" t="s">
        <v>400</v>
      </c>
      <c r="E266" s="82" t="s">
        <v>1057</v>
      </c>
      <c r="F266" s="82" t="s">
        <v>715</v>
      </c>
      <c r="G266" s="85" t="s">
        <v>715</v>
      </c>
      <c r="H266" s="85" t="s">
        <v>1058</v>
      </c>
      <c r="I266" s="82" t="s">
        <v>1068</v>
      </c>
      <c r="J266" s="82" t="s">
        <v>1069</v>
      </c>
      <c r="K266" s="82" t="s">
        <v>385</v>
      </c>
      <c r="L266" s="88" t="s">
        <v>226</v>
      </c>
      <c r="M266" s="54">
        <v>46111</v>
      </c>
      <c r="N266" s="55">
        <v>46131</v>
      </c>
    </row>
    <row r="267" spans="2:14" x14ac:dyDescent="0.25">
      <c r="B267" s="79" t="s">
        <v>381</v>
      </c>
      <c r="C267" s="82" t="s">
        <v>1056</v>
      </c>
      <c r="D267" s="82" t="s">
        <v>400</v>
      </c>
      <c r="E267" s="82" t="s">
        <v>1057</v>
      </c>
      <c r="F267" s="82" t="s">
        <v>715</v>
      </c>
      <c r="G267" s="85" t="s">
        <v>715</v>
      </c>
      <c r="H267" s="85" t="s">
        <v>1061</v>
      </c>
      <c r="I267" s="82" t="s">
        <v>1070</v>
      </c>
      <c r="J267" s="82" t="s">
        <v>1071</v>
      </c>
      <c r="K267" s="82" t="s">
        <v>385</v>
      </c>
      <c r="L267" s="88" t="s">
        <v>226</v>
      </c>
      <c r="M267" s="54">
        <v>46111</v>
      </c>
      <c r="N267" s="55">
        <v>46131</v>
      </c>
    </row>
    <row r="268" spans="2:14" x14ac:dyDescent="0.25">
      <c r="B268" s="79" t="s">
        <v>381</v>
      </c>
      <c r="C268" s="82" t="s">
        <v>1056</v>
      </c>
      <c r="D268" s="82" t="s">
        <v>400</v>
      </c>
      <c r="E268" s="82" t="s">
        <v>1057</v>
      </c>
      <c r="F268" s="82" t="s">
        <v>726</v>
      </c>
      <c r="G268" s="85" t="s">
        <v>726</v>
      </c>
      <c r="H268" s="85" t="s">
        <v>1058</v>
      </c>
      <c r="I268" s="82" t="s">
        <v>1072</v>
      </c>
      <c r="J268" s="82" t="s">
        <v>1073</v>
      </c>
      <c r="K268" s="82" t="s">
        <v>385</v>
      </c>
      <c r="L268" s="88" t="s">
        <v>226</v>
      </c>
      <c r="M268" s="54">
        <v>46140</v>
      </c>
      <c r="N268" s="55">
        <v>46160</v>
      </c>
    </row>
    <row r="269" spans="2:14" x14ac:dyDescent="0.25">
      <c r="B269" s="79" t="s">
        <v>381</v>
      </c>
      <c r="C269" s="82" t="s">
        <v>1056</v>
      </c>
      <c r="D269" s="82" t="s">
        <v>400</v>
      </c>
      <c r="E269" s="82" t="s">
        <v>1057</v>
      </c>
      <c r="F269" s="82" t="s">
        <v>726</v>
      </c>
      <c r="G269" s="85" t="s">
        <v>726</v>
      </c>
      <c r="H269" s="85" t="s">
        <v>1061</v>
      </c>
      <c r="I269" s="82" t="s">
        <v>1074</v>
      </c>
      <c r="J269" s="82" t="s">
        <v>1075</v>
      </c>
      <c r="K269" s="82" t="s">
        <v>385</v>
      </c>
      <c r="L269" s="88" t="s">
        <v>226</v>
      </c>
      <c r="M269" s="54">
        <v>46140</v>
      </c>
      <c r="N269" s="55">
        <v>46160</v>
      </c>
    </row>
    <row r="270" spans="2:14" x14ac:dyDescent="0.25">
      <c r="B270" s="79" t="s">
        <v>381</v>
      </c>
      <c r="C270" s="82" t="s">
        <v>1056</v>
      </c>
      <c r="D270" s="82" t="s">
        <v>400</v>
      </c>
      <c r="E270" s="82" t="s">
        <v>1057</v>
      </c>
      <c r="F270" s="82" t="s">
        <v>737</v>
      </c>
      <c r="G270" s="85" t="s">
        <v>737</v>
      </c>
      <c r="H270" s="85" t="s">
        <v>1058</v>
      </c>
      <c r="I270" s="82" t="s">
        <v>1076</v>
      </c>
      <c r="J270" s="82" t="s">
        <v>1077</v>
      </c>
      <c r="K270" s="82" t="s">
        <v>385</v>
      </c>
      <c r="L270" s="88" t="s">
        <v>226</v>
      </c>
      <c r="M270" s="54">
        <v>46161</v>
      </c>
      <c r="N270" s="55">
        <v>46184</v>
      </c>
    </row>
    <row r="271" spans="2:14" x14ac:dyDescent="0.25">
      <c r="B271" s="79" t="s">
        <v>381</v>
      </c>
      <c r="C271" s="82" t="s">
        <v>1056</v>
      </c>
      <c r="D271" s="82" t="s">
        <v>400</v>
      </c>
      <c r="E271" s="82" t="s">
        <v>1057</v>
      </c>
      <c r="F271" s="82" t="s">
        <v>737</v>
      </c>
      <c r="G271" s="85" t="s">
        <v>737</v>
      </c>
      <c r="H271" s="85" t="s">
        <v>1061</v>
      </c>
      <c r="I271" s="82" t="s">
        <v>1078</v>
      </c>
      <c r="J271" s="82" t="s">
        <v>1079</v>
      </c>
      <c r="K271" s="82" t="s">
        <v>385</v>
      </c>
      <c r="L271" s="88" t="s">
        <v>226</v>
      </c>
      <c r="M271" s="54">
        <v>46161</v>
      </c>
      <c r="N271" s="55">
        <v>46184</v>
      </c>
    </row>
    <row r="272" spans="2:14" x14ac:dyDescent="0.25">
      <c r="B272" s="79" t="s">
        <v>381</v>
      </c>
      <c r="C272" s="82" t="s">
        <v>1056</v>
      </c>
      <c r="D272" s="82" t="s">
        <v>400</v>
      </c>
      <c r="E272" s="82" t="s">
        <v>1057</v>
      </c>
      <c r="F272" s="82" t="s">
        <v>748</v>
      </c>
      <c r="G272" s="85" t="s">
        <v>748</v>
      </c>
      <c r="H272" s="85" t="s">
        <v>1058</v>
      </c>
      <c r="I272" s="82" t="s">
        <v>1080</v>
      </c>
      <c r="J272" s="82" t="s">
        <v>1081</v>
      </c>
      <c r="K272" s="82" t="s">
        <v>385</v>
      </c>
      <c r="L272" s="88" t="s">
        <v>226</v>
      </c>
      <c r="M272" s="54">
        <v>46190</v>
      </c>
      <c r="N272" s="55">
        <v>46210</v>
      </c>
    </row>
    <row r="273" spans="2:14" x14ac:dyDescent="0.25">
      <c r="B273" s="79" t="s">
        <v>381</v>
      </c>
      <c r="C273" s="82" t="s">
        <v>1056</v>
      </c>
      <c r="D273" s="82" t="s">
        <v>400</v>
      </c>
      <c r="E273" s="82" t="s">
        <v>1057</v>
      </c>
      <c r="F273" s="82" t="s">
        <v>748</v>
      </c>
      <c r="G273" s="85" t="s">
        <v>748</v>
      </c>
      <c r="H273" s="85" t="s">
        <v>1061</v>
      </c>
      <c r="I273" s="82" t="s">
        <v>1082</v>
      </c>
      <c r="J273" s="82" t="s">
        <v>1083</v>
      </c>
      <c r="K273" s="82" t="s">
        <v>385</v>
      </c>
      <c r="L273" s="88" t="s">
        <v>226</v>
      </c>
      <c r="M273" s="54">
        <v>46190</v>
      </c>
      <c r="N273" s="55">
        <v>46210</v>
      </c>
    </row>
    <row r="274" spans="2:14" x14ac:dyDescent="0.25">
      <c r="B274" s="79" t="s">
        <v>381</v>
      </c>
      <c r="C274" s="82" t="s">
        <v>1056</v>
      </c>
      <c r="D274" s="82" t="s">
        <v>400</v>
      </c>
      <c r="E274" s="82" t="s">
        <v>1057</v>
      </c>
      <c r="F274" s="82" t="s">
        <v>759</v>
      </c>
      <c r="G274" s="85" t="s">
        <v>759</v>
      </c>
      <c r="H274" s="85" t="s">
        <v>1058</v>
      </c>
      <c r="I274" s="82" t="s">
        <v>1084</v>
      </c>
      <c r="J274" s="82" t="s">
        <v>1085</v>
      </c>
      <c r="K274" s="82" t="s">
        <v>385</v>
      </c>
      <c r="L274" s="88" t="s">
        <v>226</v>
      </c>
      <c r="M274" s="54">
        <v>46219</v>
      </c>
      <c r="N274" s="55">
        <v>46239</v>
      </c>
    </row>
    <row r="275" spans="2:14" x14ac:dyDescent="0.25">
      <c r="B275" s="79" t="s">
        <v>381</v>
      </c>
      <c r="C275" s="82" t="s">
        <v>1056</v>
      </c>
      <c r="D275" s="82" t="s">
        <v>400</v>
      </c>
      <c r="E275" s="82" t="s">
        <v>1057</v>
      </c>
      <c r="F275" s="82" t="s">
        <v>759</v>
      </c>
      <c r="G275" s="85" t="s">
        <v>759</v>
      </c>
      <c r="H275" s="85" t="s">
        <v>1061</v>
      </c>
      <c r="I275" s="82" t="s">
        <v>1086</v>
      </c>
      <c r="J275" s="82" t="s">
        <v>1087</v>
      </c>
      <c r="K275" s="82" t="s">
        <v>385</v>
      </c>
      <c r="L275" s="88" t="s">
        <v>226</v>
      </c>
      <c r="M275" s="54">
        <v>46219</v>
      </c>
      <c r="N275" s="55">
        <v>46239</v>
      </c>
    </row>
    <row r="276" spans="2:14" x14ac:dyDescent="0.25">
      <c r="B276" s="79" t="s">
        <v>381</v>
      </c>
      <c r="C276" s="82" t="s">
        <v>1056</v>
      </c>
      <c r="D276" s="82" t="s">
        <v>400</v>
      </c>
      <c r="E276" s="82" t="s">
        <v>1057</v>
      </c>
      <c r="F276" s="82" t="s">
        <v>770</v>
      </c>
      <c r="G276" s="85" t="s">
        <v>770</v>
      </c>
      <c r="H276" s="85" t="s">
        <v>1058</v>
      </c>
      <c r="I276" s="82" t="s">
        <v>1088</v>
      </c>
      <c r="J276" s="82" t="s">
        <v>1089</v>
      </c>
      <c r="K276" s="82" t="s">
        <v>385</v>
      </c>
      <c r="L276" s="88" t="s">
        <v>226</v>
      </c>
      <c r="M276" s="54">
        <v>46249</v>
      </c>
      <c r="N276" s="55">
        <v>46268</v>
      </c>
    </row>
    <row r="277" spans="2:14" x14ac:dyDescent="0.25">
      <c r="B277" s="79" t="s">
        <v>381</v>
      </c>
      <c r="C277" s="82" t="s">
        <v>1056</v>
      </c>
      <c r="D277" s="82" t="s">
        <v>400</v>
      </c>
      <c r="E277" s="82" t="s">
        <v>1057</v>
      </c>
      <c r="F277" s="82" t="s">
        <v>770</v>
      </c>
      <c r="G277" s="85" t="s">
        <v>770</v>
      </c>
      <c r="H277" s="85" t="s">
        <v>1061</v>
      </c>
      <c r="I277" s="82" t="s">
        <v>1090</v>
      </c>
      <c r="J277" s="82" t="s">
        <v>1091</v>
      </c>
      <c r="K277" s="82" t="s">
        <v>385</v>
      </c>
      <c r="L277" s="88" t="s">
        <v>226</v>
      </c>
      <c r="M277" s="54">
        <v>46249</v>
      </c>
      <c r="N277" s="55">
        <v>46268</v>
      </c>
    </row>
    <row r="278" spans="2:14" x14ac:dyDescent="0.25">
      <c r="B278" s="79" t="s">
        <v>381</v>
      </c>
      <c r="C278" s="82" t="s">
        <v>1056</v>
      </c>
      <c r="D278" s="82" t="s">
        <v>400</v>
      </c>
      <c r="E278" s="82" t="s">
        <v>1057</v>
      </c>
      <c r="F278" s="82" t="s">
        <v>781</v>
      </c>
      <c r="G278" s="85" t="s">
        <v>781</v>
      </c>
      <c r="H278" s="85" t="s">
        <v>1058</v>
      </c>
      <c r="I278" s="82" t="s">
        <v>1092</v>
      </c>
      <c r="J278" s="82" t="s">
        <v>1093</v>
      </c>
      <c r="K278" s="82" t="s">
        <v>385</v>
      </c>
      <c r="L278" s="88" t="s">
        <v>226</v>
      </c>
      <c r="M278" s="54">
        <v>46281</v>
      </c>
      <c r="N278" s="55">
        <v>46302</v>
      </c>
    </row>
    <row r="279" spans="2:14" x14ac:dyDescent="0.25">
      <c r="B279" s="79" t="s">
        <v>381</v>
      </c>
      <c r="C279" s="82" t="s">
        <v>1056</v>
      </c>
      <c r="D279" s="82" t="s">
        <v>400</v>
      </c>
      <c r="E279" s="82" t="s">
        <v>1057</v>
      </c>
      <c r="F279" s="82" t="s">
        <v>781</v>
      </c>
      <c r="G279" s="85" t="s">
        <v>781</v>
      </c>
      <c r="H279" s="85" t="s">
        <v>1061</v>
      </c>
      <c r="I279" s="82" t="s">
        <v>1094</v>
      </c>
      <c r="J279" s="82" t="s">
        <v>1095</v>
      </c>
      <c r="K279" s="82" t="s">
        <v>385</v>
      </c>
      <c r="L279" s="88" t="s">
        <v>226</v>
      </c>
      <c r="M279" s="54">
        <v>46281</v>
      </c>
      <c r="N279" s="55">
        <v>46302</v>
      </c>
    </row>
    <row r="280" spans="2:14" x14ac:dyDescent="0.25">
      <c r="B280" s="79" t="s">
        <v>381</v>
      </c>
      <c r="C280" s="82" t="s">
        <v>1056</v>
      </c>
      <c r="D280" s="82" t="s">
        <v>400</v>
      </c>
      <c r="E280" s="82" t="s">
        <v>1057</v>
      </c>
      <c r="F280" s="82" t="s">
        <v>792</v>
      </c>
      <c r="G280" s="85" t="s">
        <v>792</v>
      </c>
      <c r="H280" s="85" t="s">
        <v>1058</v>
      </c>
      <c r="I280" s="82" t="s">
        <v>1096</v>
      </c>
      <c r="J280" s="82" t="s">
        <v>1097</v>
      </c>
      <c r="K280" s="82" t="s">
        <v>385</v>
      </c>
      <c r="L280" s="88" t="s">
        <v>226</v>
      </c>
      <c r="M280" s="54">
        <v>46312</v>
      </c>
      <c r="N280" s="55">
        <v>46331</v>
      </c>
    </row>
    <row r="281" spans="2:14" x14ac:dyDescent="0.25">
      <c r="B281" s="79" t="s">
        <v>381</v>
      </c>
      <c r="C281" s="82" t="s">
        <v>1056</v>
      </c>
      <c r="D281" s="82" t="s">
        <v>400</v>
      </c>
      <c r="E281" s="82" t="s">
        <v>1057</v>
      </c>
      <c r="F281" s="82" t="s">
        <v>792</v>
      </c>
      <c r="G281" s="85" t="s">
        <v>792</v>
      </c>
      <c r="H281" s="85" t="s">
        <v>1061</v>
      </c>
      <c r="I281" s="82" t="s">
        <v>1098</v>
      </c>
      <c r="J281" s="82" t="s">
        <v>1099</v>
      </c>
      <c r="K281" s="82" t="s">
        <v>385</v>
      </c>
      <c r="L281" s="88" t="s">
        <v>226</v>
      </c>
      <c r="M281" s="54">
        <v>46312</v>
      </c>
      <c r="N281" s="55">
        <v>46331</v>
      </c>
    </row>
    <row r="282" spans="2:14" x14ac:dyDescent="0.25">
      <c r="B282" s="79" t="s">
        <v>381</v>
      </c>
      <c r="C282" s="82" t="s">
        <v>1056</v>
      </c>
      <c r="D282" s="82" t="s">
        <v>400</v>
      </c>
      <c r="E282" s="82" t="s">
        <v>1057</v>
      </c>
      <c r="F282" s="82" t="s">
        <v>803</v>
      </c>
      <c r="G282" s="85" t="s">
        <v>803</v>
      </c>
      <c r="H282" s="85" t="s">
        <v>1058</v>
      </c>
      <c r="I282" s="82" t="s">
        <v>1100</v>
      </c>
      <c r="J282" s="82" t="s">
        <v>1101</v>
      </c>
      <c r="K282" s="82" t="s">
        <v>385</v>
      </c>
      <c r="L282" s="88" t="s">
        <v>226</v>
      </c>
      <c r="M282" s="54">
        <v>46312</v>
      </c>
      <c r="N282" s="55">
        <v>46331</v>
      </c>
    </row>
    <row r="283" spans="2:14" x14ac:dyDescent="0.25">
      <c r="B283" s="79" t="s">
        <v>381</v>
      </c>
      <c r="C283" s="82" t="s">
        <v>1056</v>
      </c>
      <c r="D283" s="82" t="s">
        <v>400</v>
      </c>
      <c r="E283" s="82" t="s">
        <v>1057</v>
      </c>
      <c r="F283" s="82" t="s">
        <v>803</v>
      </c>
      <c r="G283" s="85" t="s">
        <v>803</v>
      </c>
      <c r="H283" s="85" t="s">
        <v>1061</v>
      </c>
      <c r="I283" s="82" t="s">
        <v>1102</v>
      </c>
      <c r="J283" s="82" t="s">
        <v>1103</v>
      </c>
      <c r="K283" s="82" t="s">
        <v>385</v>
      </c>
      <c r="L283" s="88" t="s">
        <v>226</v>
      </c>
      <c r="M283" s="54">
        <v>46312</v>
      </c>
      <c r="N283" s="55">
        <v>46331</v>
      </c>
    </row>
    <row r="284" spans="2:14" x14ac:dyDescent="0.25">
      <c r="B284" s="79" t="s">
        <v>381</v>
      </c>
      <c r="C284" s="82" t="s">
        <v>1056</v>
      </c>
      <c r="D284" s="82" t="s">
        <v>400</v>
      </c>
      <c r="E284" s="82" t="s">
        <v>1057</v>
      </c>
      <c r="F284" s="82" t="s">
        <v>814</v>
      </c>
      <c r="G284" s="85" t="s">
        <v>814</v>
      </c>
      <c r="H284" s="85" t="s">
        <v>1058</v>
      </c>
      <c r="I284" s="82" t="s">
        <v>1104</v>
      </c>
      <c r="J284" s="82" t="s">
        <v>1105</v>
      </c>
      <c r="K284" s="82" t="s">
        <v>385</v>
      </c>
      <c r="L284" s="88" t="s">
        <v>226</v>
      </c>
      <c r="M284" s="54">
        <v>46333</v>
      </c>
      <c r="N284" s="55">
        <v>46352</v>
      </c>
    </row>
    <row r="285" spans="2:14" x14ac:dyDescent="0.25">
      <c r="B285" s="79" t="s">
        <v>381</v>
      </c>
      <c r="C285" s="82" t="s">
        <v>1056</v>
      </c>
      <c r="D285" s="82" t="s">
        <v>400</v>
      </c>
      <c r="E285" s="82" t="s">
        <v>1057</v>
      </c>
      <c r="F285" s="82" t="s">
        <v>814</v>
      </c>
      <c r="G285" s="85" t="s">
        <v>814</v>
      </c>
      <c r="H285" s="85" t="s">
        <v>1061</v>
      </c>
      <c r="I285" s="82" t="s">
        <v>1106</v>
      </c>
      <c r="J285" s="82" t="s">
        <v>1107</v>
      </c>
      <c r="K285" s="82" t="s">
        <v>385</v>
      </c>
      <c r="L285" s="88" t="s">
        <v>226</v>
      </c>
      <c r="M285" s="54">
        <v>46333</v>
      </c>
      <c r="N285" s="55">
        <v>46352</v>
      </c>
    </row>
    <row r="286" spans="2:14" x14ac:dyDescent="0.25">
      <c r="B286" s="79" t="s">
        <v>381</v>
      </c>
      <c r="C286" s="82" t="s">
        <v>1056</v>
      </c>
      <c r="D286" s="82" t="s">
        <v>400</v>
      </c>
      <c r="E286" s="82" t="s">
        <v>1108</v>
      </c>
      <c r="F286" s="82" t="s">
        <v>688</v>
      </c>
      <c r="G286" s="85" t="s">
        <v>1109</v>
      </c>
      <c r="H286" s="85" t="s">
        <v>1109</v>
      </c>
      <c r="I286" s="82" t="s">
        <v>1110</v>
      </c>
      <c r="J286" s="82" t="s">
        <v>1111</v>
      </c>
      <c r="K286" s="82" t="s">
        <v>385</v>
      </c>
      <c r="L286" s="88" t="s">
        <v>317</v>
      </c>
      <c r="M286" s="54">
        <v>46071</v>
      </c>
      <c r="N286" s="55">
        <v>46106</v>
      </c>
    </row>
    <row r="287" spans="2:14" x14ac:dyDescent="0.25">
      <c r="B287" s="79" t="s">
        <v>381</v>
      </c>
      <c r="C287" s="82" t="s">
        <v>1056</v>
      </c>
      <c r="D287" s="82" t="s">
        <v>400</v>
      </c>
      <c r="E287" s="82" t="s">
        <v>1108</v>
      </c>
      <c r="F287" s="82" t="s">
        <v>688</v>
      </c>
      <c r="G287" s="85" t="s">
        <v>1112</v>
      </c>
      <c r="H287" s="85" t="s">
        <v>1112</v>
      </c>
      <c r="I287" s="82" t="s">
        <v>1113</v>
      </c>
      <c r="J287" s="82" t="s">
        <v>1114</v>
      </c>
      <c r="K287" s="82" t="s">
        <v>385</v>
      </c>
      <c r="L287" s="88" t="s">
        <v>317</v>
      </c>
      <c r="M287" s="54">
        <v>46071</v>
      </c>
      <c r="N287" s="55">
        <v>46106</v>
      </c>
    </row>
    <row r="288" spans="2:14" x14ac:dyDescent="0.25">
      <c r="B288" s="79" t="s">
        <v>381</v>
      </c>
      <c r="C288" s="82" t="s">
        <v>1056</v>
      </c>
      <c r="D288" s="82" t="s">
        <v>400</v>
      </c>
      <c r="E288" s="82" t="s">
        <v>1108</v>
      </c>
      <c r="F288" s="82" t="s">
        <v>688</v>
      </c>
      <c r="G288" s="85" t="s">
        <v>1115</v>
      </c>
      <c r="H288" s="85" t="s">
        <v>1115</v>
      </c>
      <c r="I288" s="82" t="s">
        <v>1116</v>
      </c>
      <c r="J288" s="82" t="s">
        <v>1117</v>
      </c>
      <c r="K288" s="82" t="s">
        <v>385</v>
      </c>
      <c r="L288" s="88" t="s">
        <v>317</v>
      </c>
      <c r="M288" s="54">
        <v>46071</v>
      </c>
      <c r="N288" s="55">
        <v>46106</v>
      </c>
    </row>
    <row r="289" spans="2:14" x14ac:dyDescent="0.25">
      <c r="B289" s="79" t="s">
        <v>381</v>
      </c>
      <c r="C289" s="82" t="s">
        <v>1056</v>
      </c>
      <c r="D289" s="82" t="s">
        <v>400</v>
      </c>
      <c r="E289" s="82" t="s">
        <v>1108</v>
      </c>
      <c r="F289" s="82" t="s">
        <v>688</v>
      </c>
      <c r="G289" s="85" t="s">
        <v>1118</v>
      </c>
      <c r="H289" s="85" t="s">
        <v>1118</v>
      </c>
      <c r="I289" s="82" t="s">
        <v>1119</v>
      </c>
      <c r="J289" s="82" t="s">
        <v>1120</v>
      </c>
      <c r="K289" s="82" t="s">
        <v>385</v>
      </c>
      <c r="L289" s="88" t="s">
        <v>317</v>
      </c>
      <c r="M289" s="54">
        <v>46071</v>
      </c>
      <c r="N289" s="55">
        <v>46106</v>
      </c>
    </row>
    <row r="290" spans="2:14" x14ac:dyDescent="0.25">
      <c r="B290" s="79" t="s">
        <v>381</v>
      </c>
      <c r="C290" s="82" t="s">
        <v>1056</v>
      </c>
      <c r="D290" s="82" t="s">
        <v>400</v>
      </c>
      <c r="E290" s="82" t="s">
        <v>1108</v>
      </c>
      <c r="F290" s="82" t="s">
        <v>688</v>
      </c>
      <c r="G290" s="85" t="s">
        <v>1121</v>
      </c>
      <c r="H290" s="85" t="s">
        <v>1121</v>
      </c>
      <c r="I290" s="82" t="s">
        <v>1122</v>
      </c>
      <c r="J290" s="82" t="s">
        <v>1123</v>
      </c>
      <c r="K290" s="82" t="s">
        <v>385</v>
      </c>
      <c r="L290" s="88" t="s">
        <v>317</v>
      </c>
      <c r="M290" s="54">
        <v>46071</v>
      </c>
      <c r="N290" s="55">
        <v>46106</v>
      </c>
    </row>
    <row r="291" spans="2:14" x14ac:dyDescent="0.25">
      <c r="B291" s="79" t="s">
        <v>381</v>
      </c>
      <c r="C291" s="82" t="s">
        <v>1056</v>
      </c>
      <c r="D291" s="82" t="s">
        <v>400</v>
      </c>
      <c r="E291" s="82" t="s">
        <v>1108</v>
      </c>
      <c r="F291" s="82" t="s">
        <v>704</v>
      </c>
      <c r="G291" s="85" t="s">
        <v>1109</v>
      </c>
      <c r="H291" s="85" t="s">
        <v>1109</v>
      </c>
      <c r="I291" s="82" t="s">
        <v>1124</v>
      </c>
      <c r="J291" s="82" t="s">
        <v>1125</v>
      </c>
      <c r="K291" s="82" t="s">
        <v>385</v>
      </c>
      <c r="L291" s="88" t="s">
        <v>317</v>
      </c>
      <c r="M291" s="54">
        <v>46107</v>
      </c>
      <c r="N291" s="55">
        <v>46139</v>
      </c>
    </row>
    <row r="292" spans="2:14" x14ac:dyDescent="0.25">
      <c r="B292" s="79" t="s">
        <v>381</v>
      </c>
      <c r="C292" s="82" t="s">
        <v>1056</v>
      </c>
      <c r="D292" s="82" t="s">
        <v>400</v>
      </c>
      <c r="E292" s="82" t="s">
        <v>1108</v>
      </c>
      <c r="F292" s="82" t="s">
        <v>704</v>
      </c>
      <c r="G292" s="85" t="s">
        <v>1112</v>
      </c>
      <c r="H292" s="85" t="s">
        <v>1112</v>
      </c>
      <c r="I292" s="82" t="s">
        <v>1126</v>
      </c>
      <c r="J292" s="82" t="s">
        <v>1127</v>
      </c>
      <c r="K292" s="82" t="s">
        <v>385</v>
      </c>
      <c r="L292" s="88" t="s">
        <v>317</v>
      </c>
      <c r="M292" s="54">
        <v>46107</v>
      </c>
      <c r="N292" s="55">
        <v>46139</v>
      </c>
    </row>
    <row r="293" spans="2:14" x14ac:dyDescent="0.25">
      <c r="B293" s="79" t="s">
        <v>381</v>
      </c>
      <c r="C293" s="82" t="s">
        <v>1056</v>
      </c>
      <c r="D293" s="82" t="s">
        <v>400</v>
      </c>
      <c r="E293" s="82" t="s">
        <v>1108</v>
      </c>
      <c r="F293" s="82" t="s">
        <v>704</v>
      </c>
      <c r="G293" s="85" t="s">
        <v>1115</v>
      </c>
      <c r="H293" s="85" t="s">
        <v>1115</v>
      </c>
      <c r="I293" s="82" t="s">
        <v>1128</v>
      </c>
      <c r="J293" s="82" t="s">
        <v>1129</v>
      </c>
      <c r="K293" s="82" t="s">
        <v>385</v>
      </c>
      <c r="L293" s="88" t="s">
        <v>317</v>
      </c>
      <c r="M293" s="54">
        <v>46107</v>
      </c>
      <c r="N293" s="55">
        <v>46139</v>
      </c>
    </row>
    <row r="294" spans="2:14" x14ac:dyDescent="0.25">
      <c r="B294" s="79" t="s">
        <v>381</v>
      </c>
      <c r="C294" s="82" t="s">
        <v>1056</v>
      </c>
      <c r="D294" s="82" t="s">
        <v>400</v>
      </c>
      <c r="E294" s="82" t="s">
        <v>1108</v>
      </c>
      <c r="F294" s="82" t="s">
        <v>704</v>
      </c>
      <c r="G294" s="85" t="s">
        <v>1118</v>
      </c>
      <c r="H294" s="85" t="s">
        <v>1118</v>
      </c>
      <c r="I294" s="82" t="s">
        <v>1130</v>
      </c>
      <c r="J294" s="82" t="s">
        <v>1131</v>
      </c>
      <c r="K294" s="82" t="s">
        <v>385</v>
      </c>
      <c r="L294" s="88" t="s">
        <v>317</v>
      </c>
      <c r="M294" s="54">
        <v>46107</v>
      </c>
      <c r="N294" s="55">
        <v>46139</v>
      </c>
    </row>
    <row r="295" spans="2:14" x14ac:dyDescent="0.25">
      <c r="B295" s="79" t="s">
        <v>381</v>
      </c>
      <c r="C295" s="82" t="s">
        <v>1056</v>
      </c>
      <c r="D295" s="82" t="s">
        <v>400</v>
      </c>
      <c r="E295" s="82" t="s">
        <v>1108</v>
      </c>
      <c r="F295" s="82" t="s">
        <v>704</v>
      </c>
      <c r="G295" s="85" t="s">
        <v>1121</v>
      </c>
      <c r="H295" s="85" t="s">
        <v>1121</v>
      </c>
      <c r="I295" s="82" t="s">
        <v>1132</v>
      </c>
      <c r="J295" s="82" t="s">
        <v>1133</v>
      </c>
      <c r="K295" s="82" t="s">
        <v>385</v>
      </c>
      <c r="L295" s="88" t="s">
        <v>317</v>
      </c>
      <c r="M295" s="54">
        <v>46107</v>
      </c>
      <c r="N295" s="55">
        <v>46139</v>
      </c>
    </row>
    <row r="296" spans="2:14" x14ac:dyDescent="0.25">
      <c r="B296" s="79" t="s">
        <v>381</v>
      </c>
      <c r="C296" s="82" t="s">
        <v>1056</v>
      </c>
      <c r="D296" s="82" t="s">
        <v>400</v>
      </c>
      <c r="E296" s="82" t="s">
        <v>1108</v>
      </c>
      <c r="F296" s="82" t="s">
        <v>715</v>
      </c>
      <c r="G296" s="85" t="s">
        <v>1109</v>
      </c>
      <c r="H296" s="85" t="s">
        <v>1109</v>
      </c>
      <c r="I296" s="82" t="s">
        <v>1134</v>
      </c>
      <c r="J296" s="82" t="s">
        <v>1135</v>
      </c>
      <c r="K296" s="82" t="s">
        <v>385</v>
      </c>
      <c r="L296" s="88" t="s">
        <v>317</v>
      </c>
      <c r="M296" s="54">
        <v>46140</v>
      </c>
      <c r="N296" s="55">
        <v>46175</v>
      </c>
    </row>
    <row r="297" spans="2:14" x14ac:dyDescent="0.25">
      <c r="B297" s="79" t="s">
        <v>381</v>
      </c>
      <c r="C297" s="82" t="s">
        <v>1056</v>
      </c>
      <c r="D297" s="82" t="s">
        <v>400</v>
      </c>
      <c r="E297" s="82" t="s">
        <v>1108</v>
      </c>
      <c r="F297" s="82" t="s">
        <v>715</v>
      </c>
      <c r="G297" s="85" t="s">
        <v>1112</v>
      </c>
      <c r="H297" s="85" t="s">
        <v>1112</v>
      </c>
      <c r="I297" s="82" t="s">
        <v>1136</v>
      </c>
      <c r="J297" s="82" t="s">
        <v>1137</v>
      </c>
      <c r="K297" s="82" t="s">
        <v>385</v>
      </c>
      <c r="L297" s="88" t="s">
        <v>317</v>
      </c>
      <c r="M297" s="54">
        <v>46140</v>
      </c>
      <c r="N297" s="55">
        <v>46175</v>
      </c>
    </row>
    <row r="298" spans="2:14" x14ac:dyDescent="0.25">
      <c r="B298" s="79" t="s">
        <v>381</v>
      </c>
      <c r="C298" s="82" t="s">
        <v>1056</v>
      </c>
      <c r="D298" s="82" t="s">
        <v>400</v>
      </c>
      <c r="E298" s="82" t="s">
        <v>1108</v>
      </c>
      <c r="F298" s="82" t="s">
        <v>715</v>
      </c>
      <c r="G298" s="85" t="s">
        <v>1115</v>
      </c>
      <c r="H298" s="85" t="s">
        <v>1115</v>
      </c>
      <c r="I298" s="82" t="s">
        <v>1138</v>
      </c>
      <c r="J298" s="82" t="s">
        <v>1139</v>
      </c>
      <c r="K298" s="82" t="s">
        <v>385</v>
      </c>
      <c r="L298" s="88" t="s">
        <v>317</v>
      </c>
      <c r="M298" s="54">
        <v>46140</v>
      </c>
      <c r="N298" s="55">
        <v>46175</v>
      </c>
    </row>
    <row r="299" spans="2:14" x14ac:dyDescent="0.25">
      <c r="B299" s="79" t="s">
        <v>381</v>
      </c>
      <c r="C299" s="82" t="s">
        <v>1056</v>
      </c>
      <c r="D299" s="82" t="s">
        <v>400</v>
      </c>
      <c r="E299" s="82" t="s">
        <v>1108</v>
      </c>
      <c r="F299" s="82" t="s">
        <v>715</v>
      </c>
      <c r="G299" s="85" t="s">
        <v>1118</v>
      </c>
      <c r="H299" s="85" t="s">
        <v>1118</v>
      </c>
      <c r="I299" s="82" t="s">
        <v>1140</v>
      </c>
      <c r="J299" s="82" t="s">
        <v>1141</v>
      </c>
      <c r="K299" s="82" t="s">
        <v>385</v>
      </c>
      <c r="L299" s="88" t="s">
        <v>317</v>
      </c>
      <c r="M299" s="54">
        <v>46140</v>
      </c>
      <c r="N299" s="55">
        <v>46175</v>
      </c>
    </row>
    <row r="300" spans="2:14" x14ac:dyDescent="0.25">
      <c r="B300" s="79" t="s">
        <v>381</v>
      </c>
      <c r="C300" s="82" t="s">
        <v>1056</v>
      </c>
      <c r="D300" s="82" t="s">
        <v>400</v>
      </c>
      <c r="E300" s="82" t="s">
        <v>1108</v>
      </c>
      <c r="F300" s="82" t="s">
        <v>715</v>
      </c>
      <c r="G300" s="85" t="s">
        <v>1121</v>
      </c>
      <c r="H300" s="85" t="s">
        <v>1121</v>
      </c>
      <c r="I300" s="82" t="s">
        <v>1142</v>
      </c>
      <c r="J300" s="82" t="s">
        <v>1143</v>
      </c>
      <c r="K300" s="82" t="s">
        <v>385</v>
      </c>
      <c r="L300" s="88" t="s">
        <v>317</v>
      </c>
      <c r="M300" s="54">
        <v>46140</v>
      </c>
      <c r="N300" s="55">
        <v>46175</v>
      </c>
    </row>
    <row r="301" spans="2:14" x14ac:dyDescent="0.25">
      <c r="B301" s="79" t="s">
        <v>381</v>
      </c>
      <c r="C301" s="82" t="s">
        <v>1056</v>
      </c>
      <c r="D301" s="82" t="s">
        <v>400</v>
      </c>
      <c r="E301" s="82" t="s">
        <v>1108</v>
      </c>
      <c r="F301" s="82" t="s">
        <v>726</v>
      </c>
      <c r="G301" s="85" t="s">
        <v>1109</v>
      </c>
      <c r="H301" s="85" t="s">
        <v>1109</v>
      </c>
      <c r="I301" s="82" t="s">
        <v>1144</v>
      </c>
      <c r="J301" s="82" t="s">
        <v>1145</v>
      </c>
      <c r="K301" s="82" t="s">
        <v>385</v>
      </c>
      <c r="L301" s="88" t="s">
        <v>317</v>
      </c>
      <c r="M301" s="54">
        <v>46176</v>
      </c>
      <c r="N301" s="55">
        <v>46208</v>
      </c>
    </row>
    <row r="302" spans="2:14" x14ac:dyDescent="0.25">
      <c r="B302" s="79" t="s">
        <v>381</v>
      </c>
      <c r="C302" s="82" t="s">
        <v>1056</v>
      </c>
      <c r="D302" s="82" t="s">
        <v>400</v>
      </c>
      <c r="E302" s="82" t="s">
        <v>1108</v>
      </c>
      <c r="F302" s="82" t="s">
        <v>726</v>
      </c>
      <c r="G302" s="85" t="s">
        <v>1112</v>
      </c>
      <c r="H302" s="85" t="s">
        <v>1112</v>
      </c>
      <c r="I302" s="82" t="s">
        <v>1146</v>
      </c>
      <c r="J302" s="82" t="s">
        <v>1147</v>
      </c>
      <c r="K302" s="82" t="s">
        <v>385</v>
      </c>
      <c r="L302" s="88" t="s">
        <v>317</v>
      </c>
      <c r="M302" s="54">
        <v>46176</v>
      </c>
      <c r="N302" s="55">
        <v>46208</v>
      </c>
    </row>
    <row r="303" spans="2:14" x14ac:dyDescent="0.25">
      <c r="B303" s="79" t="s">
        <v>381</v>
      </c>
      <c r="C303" s="82" t="s">
        <v>1056</v>
      </c>
      <c r="D303" s="82" t="s">
        <v>400</v>
      </c>
      <c r="E303" s="82" t="s">
        <v>1108</v>
      </c>
      <c r="F303" s="82" t="s">
        <v>726</v>
      </c>
      <c r="G303" s="85" t="s">
        <v>1115</v>
      </c>
      <c r="H303" s="85" t="s">
        <v>1115</v>
      </c>
      <c r="I303" s="82" t="s">
        <v>1148</v>
      </c>
      <c r="J303" s="82" t="s">
        <v>1149</v>
      </c>
      <c r="K303" s="82" t="s">
        <v>385</v>
      </c>
      <c r="L303" s="88" t="s">
        <v>317</v>
      </c>
      <c r="M303" s="54">
        <v>46176</v>
      </c>
      <c r="N303" s="55">
        <v>46208</v>
      </c>
    </row>
    <row r="304" spans="2:14" x14ac:dyDescent="0.25">
      <c r="B304" s="79" t="s">
        <v>381</v>
      </c>
      <c r="C304" s="82" t="s">
        <v>1056</v>
      </c>
      <c r="D304" s="82" t="s">
        <v>400</v>
      </c>
      <c r="E304" s="82" t="s">
        <v>1108</v>
      </c>
      <c r="F304" s="82" t="s">
        <v>726</v>
      </c>
      <c r="G304" s="85" t="s">
        <v>1118</v>
      </c>
      <c r="H304" s="85" t="s">
        <v>1118</v>
      </c>
      <c r="I304" s="82" t="s">
        <v>1150</v>
      </c>
      <c r="J304" s="82" t="s">
        <v>1151</v>
      </c>
      <c r="K304" s="82" t="s">
        <v>385</v>
      </c>
      <c r="L304" s="88" t="s">
        <v>317</v>
      </c>
      <c r="M304" s="54">
        <v>46176</v>
      </c>
      <c r="N304" s="55">
        <v>46208</v>
      </c>
    </row>
    <row r="305" spans="2:14" x14ac:dyDescent="0.25">
      <c r="B305" s="79" t="s">
        <v>381</v>
      </c>
      <c r="C305" s="82" t="s">
        <v>1056</v>
      </c>
      <c r="D305" s="82" t="s">
        <v>400</v>
      </c>
      <c r="E305" s="82" t="s">
        <v>1108</v>
      </c>
      <c r="F305" s="82" t="s">
        <v>726</v>
      </c>
      <c r="G305" s="85" t="s">
        <v>1121</v>
      </c>
      <c r="H305" s="85" t="s">
        <v>1121</v>
      </c>
      <c r="I305" s="82" t="s">
        <v>1152</v>
      </c>
      <c r="J305" s="82" t="s">
        <v>1153</v>
      </c>
      <c r="K305" s="82" t="s">
        <v>385</v>
      </c>
      <c r="L305" s="88" t="s">
        <v>317</v>
      </c>
      <c r="M305" s="54">
        <v>46176</v>
      </c>
      <c r="N305" s="55">
        <v>46208</v>
      </c>
    </row>
    <row r="306" spans="2:14" x14ac:dyDescent="0.25">
      <c r="B306" s="79" t="s">
        <v>381</v>
      </c>
      <c r="C306" s="82" t="s">
        <v>1056</v>
      </c>
      <c r="D306" s="82" t="s">
        <v>400</v>
      </c>
      <c r="E306" s="82" t="s">
        <v>1108</v>
      </c>
      <c r="F306" s="82" t="s">
        <v>737</v>
      </c>
      <c r="G306" s="85" t="s">
        <v>1109</v>
      </c>
      <c r="H306" s="85" t="s">
        <v>1109</v>
      </c>
      <c r="I306" s="82" t="s">
        <v>1154</v>
      </c>
      <c r="J306" s="82" t="s">
        <v>1155</v>
      </c>
      <c r="K306" s="82" t="s">
        <v>385</v>
      </c>
      <c r="L306" s="88" t="s">
        <v>317</v>
      </c>
      <c r="M306" s="54">
        <v>46209</v>
      </c>
      <c r="N306" s="55">
        <v>46240</v>
      </c>
    </row>
    <row r="307" spans="2:14" x14ac:dyDescent="0.25">
      <c r="B307" s="79" t="s">
        <v>381</v>
      </c>
      <c r="C307" s="82" t="s">
        <v>1056</v>
      </c>
      <c r="D307" s="82" t="s">
        <v>400</v>
      </c>
      <c r="E307" s="82" t="s">
        <v>1108</v>
      </c>
      <c r="F307" s="82" t="s">
        <v>737</v>
      </c>
      <c r="G307" s="85" t="s">
        <v>1112</v>
      </c>
      <c r="H307" s="85" t="s">
        <v>1112</v>
      </c>
      <c r="I307" s="82" t="s">
        <v>1156</v>
      </c>
      <c r="J307" s="82" t="s">
        <v>1157</v>
      </c>
      <c r="K307" s="82" t="s">
        <v>385</v>
      </c>
      <c r="L307" s="88" t="s">
        <v>317</v>
      </c>
      <c r="M307" s="54">
        <v>46209</v>
      </c>
      <c r="N307" s="55">
        <v>46240</v>
      </c>
    </row>
    <row r="308" spans="2:14" x14ac:dyDescent="0.25">
      <c r="B308" s="79" t="s">
        <v>381</v>
      </c>
      <c r="C308" s="82" t="s">
        <v>1056</v>
      </c>
      <c r="D308" s="82" t="s">
        <v>400</v>
      </c>
      <c r="E308" s="82" t="s">
        <v>1108</v>
      </c>
      <c r="F308" s="82" t="s">
        <v>737</v>
      </c>
      <c r="G308" s="85" t="s">
        <v>1115</v>
      </c>
      <c r="H308" s="85" t="s">
        <v>1115</v>
      </c>
      <c r="I308" s="82" t="s">
        <v>1158</v>
      </c>
      <c r="J308" s="82" t="s">
        <v>1159</v>
      </c>
      <c r="K308" s="82" t="s">
        <v>385</v>
      </c>
      <c r="L308" s="88" t="s">
        <v>317</v>
      </c>
      <c r="M308" s="54">
        <v>46209</v>
      </c>
      <c r="N308" s="55">
        <v>46240</v>
      </c>
    </row>
    <row r="309" spans="2:14" x14ac:dyDescent="0.25">
      <c r="B309" s="79" t="s">
        <v>381</v>
      </c>
      <c r="C309" s="82" t="s">
        <v>1056</v>
      </c>
      <c r="D309" s="82" t="s">
        <v>400</v>
      </c>
      <c r="E309" s="82" t="s">
        <v>1108</v>
      </c>
      <c r="F309" s="82" t="s">
        <v>737</v>
      </c>
      <c r="G309" s="85" t="s">
        <v>1118</v>
      </c>
      <c r="H309" s="85" t="s">
        <v>1118</v>
      </c>
      <c r="I309" s="82" t="s">
        <v>1160</v>
      </c>
      <c r="J309" s="82" t="s">
        <v>1161</v>
      </c>
      <c r="K309" s="82" t="s">
        <v>385</v>
      </c>
      <c r="L309" s="88" t="s">
        <v>317</v>
      </c>
      <c r="M309" s="54">
        <v>46209</v>
      </c>
      <c r="N309" s="55">
        <v>46240</v>
      </c>
    </row>
    <row r="310" spans="2:14" x14ac:dyDescent="0.25">
      <c r="B310" s="79" t="s">
        <v>381</v>
      </c>
      <c r="C310" s="82" t="s">
        <v>1056</v>
      </c>
      <c r="D310" s="82" t="s">
        <v>400</v>
      </c>
      <c r="E310" s="82" t="s">
        <v>1108</v>
      </c>
      <c r="F310" s="82" t="s">
        <v>737</v>
      </c>
      <c r="G310" s="85" t="s">
        <v>1121</v>
      </c>
      <c r="H310" s="85" t="s">
        <v>1121</v>
      </c>
      <c r="I310" s="82" t="s">
        <v>1162</v>
      </c>
      <c r="J310" s="82" t="s">
        <v>1163</v>
      </c>
      <c r="K310" s="82" t="s">
        <v>385</v>
      </c>
      <c r="L310" s="88" t="s">
        <v>317</v>
      </c>
      <c r="M310" s="54">
        <v>46209</v>
      </c>
      <c r="N310" s="55">
        <v>46240</v>
      </c>
    </row>
    <row r="311" spans="2:14" x14ac:dyDescent="0.25">
      <c r="B311" s="79" t="s">
        <v>381</v>
      </c>
      <c r="C311" s="82" t="s">
        <v>1056</v>
      </c>
      <c r="D311" s="82" t="s">
        <v>400</v>
      </c>
      <c r="E311" s="82" t="s">
        <v>1108</v>
      </c>
      <c r="F311" s="82" t="s">
        <v>748</v>
      </c>
      <c r="G311" s="85" t="s">
        <v>1109</v>
      </c>
      <c r="H311" s="85" t="s">
        <v>1109</v>
      </c>
      <c r="I311" s="82" t="s">
        <v>1164</v>
      </c>
      <c r="J311" s="82" t="s">
        <v>1165</v>
      </c>
      <c r="K311" s="82" t="s">
        <v>385</v>
      </c>
      <c r="L311" s="88" t="s">
        <v>317</v>
      </c>
      <c r="M311" s="54">
        <v>46242</v>
      </c>
      <c r="N311" s="55">
        <v>46273</v>
      </c>
    </row>
    <row r="312" spans="2:14" x14ac:dyDescent="0.25">
      <c r="B312" s="79" t="s">
        <v>381</v>
      </c>
      <c r="C312" s="82" t="s">
        <v>1056</v>
      </c>
      <c r="D312" s="82" t="s">
        <v>400</v>
      </c>
      <c r="E312" s="82" t="s">
        <v>1108</v>
      </c>
      <c r="F312" s="82" t="s">
        <v>748</v>
      </c>
      <c r="G312" s="85" t="s">
        <v>1112</v>
      </c>
      <c r="H312" s="85" t="s">
        <v>1112</v>
      </c>
      <c r="I312" s="82" t="s">
        <v>1166</v>
      </c>
      <c r="J312" s="82" t="s">
        <v>1167</v>
      </c>
      <c r="K312" s="82" t="s">
        <v>385</v>
      </c>
      <c r="L312" s="88" t="s">
        <v>317</v>
      </c>
      <c r="M312" s="54">
        <v>46242</v>
      </c>
      <c r="N312" s="55">
        <v>46273</v>
      </c>
    </row>
    <row r="313" spans="2:14" x14ac:dyDescent="0.25">
      <c r="B313" s="79" t="s">
        <v>381</v>
      </c>
      <c r="C313" s="82" t="s">
        <v>1056</v>
      </c>
      <c r="D313" s="82" t="s">
        <v>400</v>
      </c>
      <c r="E313" s="82" t="s">
        <v>1108</v>
      </c>
      <c r="F313" s="82" t="s">
        <v>748</v>
      </c>
      <c r="G313" s="85" t="s">
        <v>1115</v>
      </c>
      <c r="H313" s="85" t="s">
        <v>1115</v>
      </c>
      <c r="I313" s="82" t="s">
        <v>1168</v>
      </c>
      <c r="J313" s="82" t="s">
        <v>1169</v>
      </c>
      <c r="K313" s="82" t="s">
        <v>385</v>
      </c>
      <c r="L313" s="88" t="s">
        <v>317</v>
      </c>
      <c r="M313" s="54">
        <v>46242</v>
      </c>
      <c r="N313" s="55">
        <v>46273</v>
      </c>
    </row>
    <row r="314" spans="2:14" x14ac:dyDescent="0.25">
      <c r="B314" s="79" t="s">
        <v>381</v>
      </c>
      <c r="C314" s="82" t="s">
        <v>1056</v>
      </c>
      <c r="D314" s="82" t="s">
        <v>400</v>
      </c>
      <c r="E314" s="82" t="s">
        <v>1108</v>
      </c>
      <c r="F314" s="82" t="s">
        <v>748</v>
      </c>
      <c r="G314" s="85" t="s">
        <v>1118</v>
      </c>
      <c r="H314" s="85" t="s">
        <v>1118</v>
      </c>
      <c r="I314" s="82" t="s">
        <v>1170</v>
      </c>
      <c r="J314" s="82" t="s">
        <v>1171</v>
      </c>
      <c r="K314" s="82" t="s">
        <v>385</v>
      </c>
      <c r="L314" s="88" t="s">
        <v>317</v>
      </c>
      <c r="M314" s="54">
        <v>46242</v>
      </c>
      <c r="N314" s="55">
        <v>46273</v>
      </c>
    </row>
    <row r="315" spans="2:14" x14ac:dyDescent="0.25">
      <c r="B315" s="79" t="s">
        <v>381</v>
      </c>
      <c r="C315" s="82" t="s">
        <v>1056</v>
      </c>
      <c r="D315" s="82" t="s">
        <v>400</v>
      </c>
      <c r="E315" s="82" t="s">
        <v>1108</v>
      </c>
      <c r="F315" s="82" t="s">
        <v>748</v>
      </c>
      <c r="G315" s="85" t="s">
        <v>1121</v>
      </c>
      <c r="H315" s="85" t="s">
        <v>1121</v>
      </c>
      <c r="I315" s="82" t="s">
        <v>1172</v>
      </c>
      <c r="J315" s="82" t="s">
        <v>1173</v>
      </c>
      <c r="K315" s="82" t="s">
        <v>385</v>
      </c>
      <c r="L315" s="88" t="s">
        <v>317</v>
      </c>
      <c r="M315" s="54">
        <v>46242</v>
      </c>
      <c r="N315" s="55">
        <v>46273</v>
      </c>
    </row>
    <row r="316" spans="2:14" x14ac:dyDescent="0.25">
      <c r="B316" s="79" t="s">
        <v>381</v>
      </c>
      <c r="C316" s="82" t="s">
        <v>1056</v>
      </c>
      <c r="D316" s="82" t="s">
        <v>400</v>
      </c>
      <c r="E316" s="82" t="s">
        <v>1108</v>
      </c>
      <c r="F316" s="82" t="s">
        <v>759</v>
      </c>
      <c r="G316" s="85" t="s">
        <v>1109</v>
      </c>
      <c r="H316" s="85" t="s">
        <v>1109</v>
      </c>
      <c r="I316" s="82" t="s">
        <v>1174</v>
      </c>
      <c r="J316" s="82" t="s">
        <v>1175</v>
      </c>
      <c r="K316" s="82" t="s">
        <v>385</v>
      </c>
      <c r="L316" s="88" t="s">
        <v>317</v>
      </c>
      <c r="M316" s="54">
        <v>46274</v>
      </c>
      <c r="N316" s="55">
        <v>46307</v>
      </c>
    </row>
    <row r="317" spans="2:14" x14ac:dyDescent="0.25">
      <c r="B317" s="79" t="s">
        <v>381</v>
      </c>
      <c r="C317" s="82" t="s">
        <v>1056</v>
      </c>
      <c r="D317" s="82" t="s">
        <v>400</v>
      </c>
      <c r="E317" s="82" t="s">
        <v>1108</v>
      </c>
      <c r="F317" s="82" t="s">
        <v>759</v>
      </c>
      <c r="G317" s="85" t="s">
        <v>1112</v>
      </c>
      <c r="H317" s="85" t="s">
        <v>1112</v>
      </c>
      <c r="I317" s="82" t="s">
        <v>1176</v>
      </c>
      <c r="J317" s="82" t="s">
        <v>1177</v>
      </c>
      <c r="K317" s="82" t="s">
        <v>385</v>
      </c>
      <c r="L317" s="88" t="s">
        <v>317</v>
      </c>
      <c r="M317" s="54">
        <v>46274</v>
      </c>
      <c r="N317" s="55">
        <v>46307</v>
      </c>
    </row>
    <row r="318" spans="2:14" x14ac:dyDescent="0.25">
      <c r="B318" s="79" t="s">
        <v>381</v>
      </c>
      <c r="C318" s="82" t="s">
        <v>1056</v>
      </c>
      <c r="D318" s="82" t="s">
        <v>400</v>
      </c>
      <c r="E318" s="82" t="s">
        <v>1108</v>
      </c>
      <c r="F318" s="82" t="s">
        <v>759</v>
      </c>
      <c r="G318" s="85" t="s">
        <v>1115</v>
      </c>
      <c r="H318" s="85" t="s">
        <v>1115</v>
      </c>
      <c r="I318" s="82" t="s">
        <v>1178</v>
      </c>
      <c r="J318" s="82" t="s">
        <v>1179</v>
      </c>
      <c r="K318" s="82" t="s">
        <v>385</v>
      </c>
      <c r="L318" s="88" t="s">
        <v>317</v>
      </c>
      <c r="M318" s="54">
        <v>46274</v>
      </c>
      <c r="N318" s="55">
        <v>46307</v>
      </c>
    </row>
    <row r="319" spans="2:14" x14ac:dyDescent="0.25">
      <c r="B319" s="79" t="s">
        <v>381</v>
      </c>
      <c r="C319" s="82" t="s">
        <v>1056</v>
      </c>
      <c r="D319" s="82" t="s">
        <v>400</v>
      </c>
      <c r="E319" s="82" t="s">
        <v>1108</v>
      </c>
      <c r="F319" s="82" t="s">
        <v>759</v>
      </c>
      <c r="G319" s="85" t="s">
        <v>1118</v>
      </c>
      <c r="H319" s="85" t="s">
        <v>1118</v>
      </c>
      <c r="I319" s="82" t="s">
        <v>1180</v>
      </c>
      <c r="J319" s="82" t="s">
        <v>1181</v>
      </c>
      <c r="K319" s="82" t="s">
        <v>385</v>
      </c>
      <c r="L319" s="88" t="s">
        <v>317</v>
      </c>
      <c r="M319" s="54">
        <v>46274</v>
      </c>
      <c r="N319" s="55">
        <v>46307</v>
      </c>
    </row>
    <row r="320" spans="2:14" x14ac:dyDescent="0.25">
      <c r="B320" s="79" t="s">
        <v>381</v>
      </c>
      <c r="C320" s="82" t="s">
        <v>1056</v>
      </c>
      <c r="D320" s="82" t="s">
        <v>400</v>
      </c>
      <c r="E320" s="82" t="s">
        <v>1108</v>
      </c>
      <c r="F320" s="82" t="s">
        <v>759</v>
      </c>
      <c r="G320" s="85" t="s">
        <v>1121</v>
      </c>
      <c r="H320" s="85" t="s">
        <v>1121</v>
      </c>
      <c r="I320" s="82" t="s">
        <v>1182</v>
      </c>
      <c r="J320" s="82" t="s">
        <v>1183</v>
      </c>
      <c r="K320" s="82" t="s">
        <v>385</v>
      </c>
      <c r="L320" s="88" t="s">
        <v>317</v>
      </c>
      <c r="M320" s="54">
        <v>46274</v>
      </c>
      <c r="N320" s="55">
        <v>46307</v>
      </c>
    </row>
    <row r="321" spans="2:14" x14ac:dyDescent="0.25">
      <c r="B321" s="79" t="s">
        <v>381</v>
      </c>
      <c r="C321" s="82" t="s">
        <v>1056</v>
      </c>
      <c r="D321" s="82" t="s">
        <v>400</v>
      </c>
      <c r="E321" s="82" t="s">
        <v>1108</v>
      </c>
      <c r="F321" s="82" t="s">
        <v>770</v>
      </c>
      <c r="G321" s="85" t="s">
        <v>1109</v>
      </c>
      <c r="H321" s="85" t="s">
        <v>1109</v>
      </c>
      <c r="I321" s="82" t="s">
        <v>1184</v>
      </c>
      <c r="J321" s="82" t="s">
        <v>1185</v>
      </c>
      <c r="K321" s="82" t="s">
        <v>385</v>
      </c>
      <c r="L321" s="88" t="s">
        <v>317</v>
      </c>
      <c r="M321" s="54">
        <v>46308</v>
      </c>
      <c r="N321" s="55">
        <v>46340</v>
      </c>
    </row>
    <row r="322" spans="2:14" x14ac:dyDescent="0.25">
      <c r="B322" s="79" t="s">
        <v>381</v>
      </c>
      <c r="C322" s="82" t="s">
        <v>1056</v>
      </c>
      <c r="D322" s="82" t="s">
        <v>400</v>
      </c>
      <c r="E322" s="82" t="s">
        <v>1108</v>
      </c>
      <c r="F322" s="82" t="s">
        <v>770</v>
      </c>
      <c r="G322" s="85" t="s">
        <v>1112</v>
      </c>
      <c r="H322" s="85" t="s">
        <v>1112</v>
      </c>
      <c r="I322" s="82" t="s">
        <v>1186</v>
      </c>
      <c r="J322" s="82" t="s">
        <v>1187</v>
      </c>
      <c r="K322" s="82" t="s">
        <v>385</v>
      </c>
      <c r="L322" s="88" t="s">
        <v>317</v>
      </c>
      <c r="M322" s="54">
        <v>46308</v>
      </c>
      <c r="N322" s="55">
        <v>46340</v>
      </c>
    </row>
    <row r="323" spans="2:14" x14ac:dyDescent="0.25">
      <c r="B323" s="79" t="s">
        <v>381</v>
      </c>
      <c r="C323" s="82" t="s">
        <v>1056</v>
      </c>
      <c r="D323" s="82" t="s">
        <v>400</v>
      </c>
      <c r="E323" s="82" t="s">
        <v>1108</v>
      </c>
      <c r="F323" s="82" t="s">
        <v>770</v>
      </c>
      <c r="G323" s="85" t="s">
        <v>1115</v>
      </c>
      <c r="H323" s="85" t="s">
        <v>1115</v>
      </c>
      <c r="I323" s="82" t="s">
        <v>1188</v>
      </c>
      <c r="J323" s="82" t="s">
        <v>1189</v>
      </c>
      <c r="K323" s="82" t="s">
        <v>385</v>
      </c>
      <c r="L323" s="88" t="s">
        <v>317</v>
      </c>
      <c r="M323" s="54">
        <v>46308</v>
      </c>
      <c r="N323" s="55">
        <v>46340</v>
      </c>
    </row>
    <row r="324" spans="2:14" x14ac:dyDescent="0.25">
      <c r="B324" s="79" t="s">
        <v>381</v>
      </c>
      <c r="C324" s="82" t="s">
        <v>1056</v>
      </c>
      <c r="D324" s="82" t="s">
        <v>400</v>
      </c>
      <c r="E324" s="82" t="s">
        <v>1108</v>
      </c>
      <c r="F324" s="82" t="s">
        <v>770</v>
      </c>
      <c r="G324" s="85" t="s">
        <v>1118</v>
      </c>
      <c r="H324" s="85" t="s">
        <v>1118</v>
      </c>
      <c r="I324" s="82" t="s">
        <v>1190</v>
      </c>
      <c r="J324" s="82" t="s">
        <v>1191</v>
      </c>
      <c r="K324" s="82" t="s">
        <v>385</v>
      </c>
      <c r="L324" s="88" t="s">
        <v>317</v>
      </c>
      <c r="M324" s="54">
        <v>46308</v>
      </c>
      <c r="N324" s="55">
        <v>46340</v>
      </c>
    </row>
    <row r="325" spans="2:14" x14ac:dyDescent="0.25">
      <c r="B325" s="79" t="s">
        <v>381</v>
      </c>
      <c r="C325" s="82" t="s">
        <v>1056</v>
      </c>
      <c r="D325" s="82" t="s">
        <v>400</v>
      </c>
      <c r="E325" s="82" t="s">
        <v>1108</v>
      </c>
      <c r="F325" s="82" t="s">
        <v>770</v>
      </c>
      <c r="G325" s="85" t="s">
        <v>1121</v>
      </c>
      <c r="H325" s="85" t="s">
        <v>1121</v>
      </c>
      <c r="I325" s="82" t="s">
        <v>1192</v>
      </c>
      <c r="J325" s="82" t="s">
        <v>1193</v>
      </c>
      <c r="K325" s="82" t="s">
        <v>385</v>
      </c>
      <c r="L325" s="88" t="s">
        <v>317</v>
      </c>
      <c r="M325" s="54">
        <v>46308</v>
      </c>
      <c r="N325" s="55">
        <v>46340</v>
      </c>
    </row>
    <row r="326" spans="2:14" x14ac:dyDescent="0.25">
      <c r="B326" s="79" t="s">
        <v>381</v>
      </c>
      <c r="C326" s="82" t="s">
        <v>1056</v>
      </c>
      <c r="D326" s="82" t="s">
        <v>400</v>
      </c>
      <c r="E326" s="82" t="s">
        <v>1108</v>
      </c>
      <c r="F326" s="82" t="s">
        <v>781</v>
      </c>
      <c r="G326" s="85" t="s">
        <v>1109</v>
      </c>
      <c r="H326" s="85" t="s">
        <v>1109</v>
      </c>
      <c r="I326" s="82" t="s">
        <v>1194</v>
      </c>
      <c r="J326" s="82" t="s">
        <v>1195</v>
      </c>
      <c r="K326" s="82" t="s">
        <v>385</v>
      </c>
      <c r="L326" s="88" t="s">
        <v>317</v>
      </c>
      <c r="M326" s="54">
        <v>46341</v>
      </c>
      <c r="N326" s="55">
        <v>46372</v>
      </c>
    </row>
    <row r="327" spans="2:14" x14ac:dyDescent="0.25">
      <c r="B327" s="79" t="s">
        <v>381</v>
      </c>
      <c r="C327" s="82" t="s">
        <v>1056</v>
      </c>
      <c r="D327" s="82" t="s">
        <v>400</v>
      </c>
      <c r="E327" s="82" t="s">
        <v>1108</v>
      </c>
      <c r="F327" s="82" t="s">
        <v>781</v>
      </c>
      <c r="G327" s="85" t="s">
        <v>1112</v>
      </c>
      <c r="H327" s="85" t="s">
        <v>1112</v>
      </c>
      <c r="I327" s="82" t="s">
        <v>1196</v>
      </c>
      <c r="J327" s="82" t="s">
        <v>1197</v>
      </c>
      <c r="K327" s="82" t="s">
        <v>385</v>
      </c>
      <c r="L327" s="88" t="s">
        <v>317</v>
      </c>
      <c r="M327" s="54">
        <v>46341</v>
      </c>
      <c r="N327" s="55">
        <v>46372</v>
      </c>
    </row>
    <row r="328" spans="2:14" x14ac:dyDescent="0.25">
      <c r="B328" s="79" t="s">
        <v>381</v>
      </c>
      <c r="C328" s="82" t="s">
        <v>1056</v>
      </c>
      <c r="D328" s="82" t="s">
        <v>400</v>
      </c>
      <c r="E328" s="82" t="s">
        <v>1108</v>
      </c>
      <c r="F328" s="82" t="s">
        <v>781</v>
      </c>
      <c r="G328" s="85" t="s">
        <v>1115</v>
      </c>
      <c r="H328" s="85" t="s">
        <v>1115</v>
      </c>
      <c r="I328" s="82" t="s">
        <v>1198</v>
      </c>
      <c r="J328" s="82" t="s">
        <v>1199</v>
      </c>
      <c r="K328" s="82" t="s">
        <v>385</v>
      </c>
      <c r="L328" s="88" t="s">
        <v>317</v>
      </c>
      <c r="M328" s="54">
        <v>46341</v>
      </c>
      <c r="N328" s="55">
        <v>46372</v>
      </c>
    </row>
    <row r="329" spans="2:14" x14ac:dyDescent="0.25">
      <c r="B329" s="79" t="s">
        <v>381</v>
      </c>
      <c r="C329" s="82" t="s">
        <v>1056</v>
      </c>
      <c r="D329" s="82" t="s">
        <v>400</v>
      </c>
      <c r="E329" s="82" t="s">
        <v>1108</v>
      </c>
      <c r="F329" s="82" t="s">
        <v>781</v>
      </c>
      <c r="G329" s="85" t="s">
        <v>1118</v>
      </c>
      <c r="H329" s="85" t="s">
        <v>1118</v>
      </c>
      <c r="I329" s="82" t="s">
        <v>1200</v>
      </c>
      <c r="J329" s="82" t="s">
        <v>1201</v>
      </c>
      <c r="K329" s="82" t="s">
        <v>385</v>
      </c>
      <c r="L329" s="88" t="s">
        <v>317</v>
      </c>
      <c r="M329" s="54">
        <v>46364</v>
      </c>
      <c r="N329" s="55">
        <v>46396</v>
      </c>
    </row>
    <row r="330" spans="2:14" x14ac:dyDescent="0.25">
      <c r="B330" s="79" t="s">
        <v>381</v>
      </c>
      <c r="C330" s="82" t="s">
        <v>1056</v>
      </c>
      <c r="D330" s="82" t="s">
        <v>400</v>
      </c>
      <c r="E330" s="82" t="s">
        <v>1108</v>
      </c>
      <c r="F330" s="82" t="s">
        <v>781</v>
      </c>
      <c r="G330" s="85" t="s">
        <v>1121</v>
      </c>
      <c r="H330" s="85" t="s">
        <v>1121</v>
      </c>
      <c r="I330" s="82" t="s">
        <v>1202</v>
      </c>
      <c r="J330" s="82" t="s">
        <v>1203</v>
      </c>
      <c r="K330" s="82" t="s">
        <v>385</v>
      </c>
      <c r="L330" s="88" t="s">
        <v>317</v>
      </c>
      <c r="M330" s="54">
        <v>46341</v>
      </c>
      <c r="N330" s="55">
        <v>46372</v>
      </c>
    </row>
    <row r="331" spans="2:14" x14ac:dyDescent="0.25">
      <c r="B331" s="79" t="s">
        <v>381</v>
      </c>
      <c r="C331" s="82" t="s">
        <v>1056</v>
      </c>
      <c r="D331" s="82" t="s">
        <v>400</v>
      </c>
      <c r="E331" s="82" t="s">
        <v>1108</v>
      </c>
      <c r="F331" s="82" t="s">
        <v>792</v>
      </c>
      <c r="G331" s="85" t="s">
        <v>1109</v>
      </c>
      <c r="H331" s="85" t="s">
        <v>1109</v>
      </c>
      <c r="I331" s="82" t="s">
        <v>1204</v>
      </c>
      <c r="J331" s="82" t="s">
        <v>1205</v>
      </c>
      <c r="K331" s="82" t="s">
        <v>385</v>
      </c>
      <c r="L331" s="88" t="s">
        <v>317</v>
      </c>
      <c r="M331" s="54">
        <v>46373</v>
      </c>
      <c r="N331" s="55">
        <v>46405</v>
      </c>
    </row>
    <row r="332" spans="2:14" x14ac:dyDescent="0.25">
      <c r="B332" s="79" t="s">
        <v>381</v>
      </c>
      <c r="C332" s="82" t="s">
        <v>1056</v>
      </c>
      <c r="D332" s="82" t="s">
        <v>400</v>
      </c>
      <c r="E332" s="82" t="s">
        <v>1108</v>
      </c>
      <c r="F332" s="82" t="s">
        <v>792</v>
      </c>
      <c r="G332" s="85" t="s">
        <v>1112</v>
      </c>
      <c r="H332" s="85" t="s">
        <v>1112</v>
      </c>
      <c r="I332" s="82" t="s">
        <v>1206</v>
      </c>
      <c r="J332" s="82" t="s">
        <v>1207</v>
      </c>
      <c r="K332" s="82" t="s">
        <v>385</v>
      </c>
      <c r="L332" s="88" t="s">
        <v>317</v>
      </c>
      <c r="M332" s="54">
        <v>46373</v>
      </c>
      <c r="N332" s="55">
        <v>46405</v>
      </c>
    </row>
    <row r="333" spans="2:14" x14ac:dyDescent="0.25">
      <c r="B333" s="79" t="s">
        <v>381</v>
      </c>
      <c r="C333" s="82" t="s">
        <v>1056</v>
      </c>
      <c r="D333" s="82" t="s">
        <v>400</v>
      </c>
      <c r="E333" s="82" t="s">
        <v>1108</v>
      </c>
      <c r="F333" s="82" t="s">
        <v>792</v>
      </c>
      <c r="G333" s="85" t="s">
        <v>1115</v>
      </c>
      <c r="H333" s="85" t="s">
        <v>1115</v>
      </c>
      <c r="I333" s="82" t="s">
        <v>1208</v>
      </c>
      <c r="J333" s="82" t="s">
        <v>1209</v>
      </c>
      <c r="K333" s="82" t="s">
        <v>385</v>
      </c>
      <c r="L333" s="88" t="s">
        <v>317</v>
      </c>
      <c r="M333" s="54">
        <v>46347</v>
      </c>
      <c r="N333" s="55">
        <v>46378</v>
      </c>
    </row>
    <row r="334" spans="2:14" x14ac:dyDescent="0.25">
      <c r="B334" s="79" t="s">
        <v>381</v>
      </c>
      <c r="C334" s="82" t="s">
        <v>1056</v>
      </c>
      <c r="D334" s="82" t="s">
        <v>400</v>
      </c>
      <c r="E334" s="82" t="s">
        <v>1108</v>
      </c>
      <c r="F334" s="82" t="s">
        <v>792</v>
      </c>
      <c r="G334" s="85" t="s">
        <v>1118</v>
      </c>
      <c r="H334" s="85" t="s">
        <v>1118</v>
      </c>
      <c r="I334" s="82" t="s">
        <v>1210</v>
      </c>
      <c r="J334" s="82" t="s">
        <v>1211</v>
      </c>
      <c r="K334" s="82" t="s">
        <v>385</v>
      </c>
      <c r="L334" s="88" t="s">
        <v>317</v>
      </c>
      <c r="M334" s="54">
        <v>46397</v>
      </c>
      <c r="N334" s="55">
        <v>46428</v>
      </c>
    </row>
    <row r="335" spans="2:14" x14ac:dyDescent="0.25">
      <c r="B335" s="79" t="s">
        <v>381</v>
      </c>
      <c r="C335" s="82" t="s">
        <v>1056</v>
      </c>
      <c r="D335" s="82" t="s">
        <v>400</v>
      </c>
      <c r="E335" s="82" t="s">
        <v>1108</v>
      </c>
      <c r="F335" s="82" t="s">
        <v>792</v>
      </c>
      <c r="G335" s="85" t="s">
        <v>1121</v>
      </c>
      <c r="H335" s="85" t="s">
        <v>1121</v>
      </c>
      <c r="I335" s="82" t="s">
        <v>1212</v>
      </c>
      <c r="J335" s="82" t="s">
        <v>1213</v>
      </c>
      <c r="K335" s="82" t="s">
        <v>385</v>
      </c>
      <c r="L335" s="88" t="s">
        <v>317</v>
      </c>
      <c r="M335" s="54">
        <v>46373</v>
      </c>
      <c r="N335" s="55">
        <v>46405</v>
      </c>
    </row>
    <row r="336" spans="2:14" x14ac:dyDescent="0.25">
      <c r="B336" s="79" t="s">
        <v>381</v>
      </c>
      <c r="C336" s="82" t="s">
        <v>1056</v>
      </c>
      <c r="D336" s="82" t="s">
        <v>400</v>
      </c>
      <c r="E336" s="82" t="s">
        <v>1108</v>
      </c>
      <c r="F336" s="82" t="s">
        <v>803</v>
      </c>
      <c r="G336" s="85" t="s">
        <v>1109</v>
      </c>
      <c r="H336" s="85" t="s">
        <v>1109</v>
      </c>
      <c r="I336" s="82" t="s">
        <v>1214</v>
      </c>
      <c r="J336" s="82" t="s">
        <v>1215</v>
      </c>
      <c r="K336" s="82" t="s">
        <v>385</v>
      </c>
      <c r="L336" s="88" t="s">
        <v>317</v>
      </c>
      <c r="M336" s="54">
        <v>46373</v>
      </c>
      <c r="N336" s="55">
        <v>46405</v>
      </c>
    </row>
    <row r="337" spans="2:14" x14ac:dyDescent="0.25">
      <c r="B337" s="79" t="s">
        <v>381</v>
      </c>
      <c r="C337" s="82" t="s">
        <v>1056</v>
      </c>
      <c r="D337" s="82" t="s">
        <v>400</v>
      </c>
      <c r="E337" s="82" t="s">
        <v>1108</v>
      </c>
      <c r="F337" s="82" t="s">
        <v>803</v>
      </c>
      <c r="G337" s="85" t="s">
        <v>1112</v>
      </c>
      <c r="H337" s="85" t="s">
        <v>1112</v>
      </c>
      <c r="I337" s="82" t="s">
        <v>1216</v>
      </c>
      <c r="J337" s="82" t="s">
        <v>1217</v>
      </c>
      <c r="K337" s="82" t="s">
        <v>385</v>
      </c>
      <c r="L337" s="88" t="s">
        <v>317</v>
      </c>
      <c r="M337" s="54">
        <v>46373</v>
      </c>
      <c r="N337" s="55">
        <v>46405</v>
      </c>
    </row>
    <row r="338" spans="2:14" x14ac:dyDescent="0.25">
      <c r="B338" s="79" t="s">
        <v>381</v>
      </c>
      <c r="C338" s="82" t="s">
        <v>1056</v>
      </c>
      <c r="D338" s="82" t="s">
        <v>400</v>
      </c>
      <c r="E338" s="82" t="s">
        <v>1108</v>
      </c>
      <c r="F338" s="82" t="s">
        <v>803</v>
      </c>
      <c r="G338" s="85" t="s">
        <v>1115</v>
      </c>
      <c r="H338" s="85" t="s">
        <v>1115</v>
      </c>
      <c r="I338" s="82" t="s">
        <v>1218</v>
      </c>
      <c r="J338" s="82" t="s">
        <v>1219</v>
      </c>
      <c r="K338" s="82" t="s">
        <v>385</v>
      </c>
      <c r="L338" s="88" t="s">
        <v>317</v>
      </c>
      <c r="M338" s="54">
        <v>46347</v>
      </c>
      <c r="N338" s="55">
        <v>46378</v>
      </c>
    </row>
    <row r="339" spans="2:14" x14ac:dyDescent="0.25">
      <c r="B339" s="79" t="s">
        <v>381</v>
      </c>
      <c r="C339" s="82" t="s">
        <v>1056</v>
      </c>
      <c r="D339" s="82" t="s">
        <v>400</v>
      </c>
      <c r="E339" s="82" t="s">
        <v>1108</v>
      </c>
      <c r="F339" s="82" t="s">
        <v>803</v>
      </c>
      <c r="G339" s="85" t="s">
        <v>1118</v>
      </c>
      <c r="H339" s="85" t="s">
        <v>1118</v>
      </c>
      <c r="I339" s="82" t="s">
        <v>1220</v>
      </c>
      <c r="J339" s="82" t="s">
        <v>1221</v>
      </c>
      <c r="K339" s="82" t="s">
        <v>385</v>
      </c>
      <c r="L339" s="88" t="s">
        <v>317</v>
      </c>
      <c r="M339" s="54">
        <v>46397</v>
      </c>
      <c r="N339" s="55">
        <v>46428</v>
      </c>
    </row>
    <row r="340" spans="2:14" x14ac:dyDescent="0.25">
      <c r="B340" s="79" t="s">
        <v>381</v>
      </c>
      <c r="C340" s="82" t="s">
        <v>1056</v>
      </c>
      <c r="D340" s="82" t="s">
        <v>400</v>
      </c>
      <c r="E340" s="82" t="s">
        <v>1108</v>
      </c>
      <c r="F340" s="82" t="s">
        <v>803</v>
      </c>
      <c r="G340" s="85" t="s">
        <v>1121</v>
      </c>
      <c r="H340" s="85" t="s">
        <v>1121</v>
      </c>
      <c r="I340" s="82" t="s">
        <v>1222</v>
      </c>
      <c r="J340" s="82" t="s">
        <v>1223</v>
      </c>
      <c r="K340" s="82" t="s">
        <v>385</v>
      </c>
      <c r="L340" s="88" t="s">
        <v>317</v>
      </c>
      <c r="M340" s="54">
        <v>46373</v>
      </c>
      <c r="N340" s="55">
        <v>46405</v>
      </c>
    </row>
    <row r="341" spans="2:14" x14ac:dyDescent="0.25">
      <c r="B341" s="79" t="s">
        <v>381</v>
      </c>
      <c r="C341" s="82" t="s">
        <v>1056</v>
      </c>
      <c r="D341" s="82" t="s">
        <v>400</v>
      </c>
      <c r="E341" s="82" t="s">
        <v>1108</v>
      </c>
      <c r="F341" s="82" t="s">
        <v>814</v>
      </c>
      <c r="G341" s="85" t="s">
        <v>1109</v>
      </c>
      <c r="H341" s="85" t="s">
        <v>1109</v>
      </c>
      <c r="I341" s="82" t="s">
        <v>1224</v>
      </c>
      <c r="J341" s="82" t="s">
        <v>1225</v>
      </c>
      <c r="K341" s="82" t="s">
        <v>385</v>
      </c>
      <c r="L341" s="88" t="s">
        <v>317</v>
      </c>
      <c r="M341" s="54">
        <v>46491</v>
      </c>
      <c r="N341" s="55">
        <v>46527</v>
      </c>
    </row>
    <row r="342" spans="2:14" x14ac:dyDescent="0.25">
      <c r="B342" s="79" t="s">
        <v>381</v>
      </c>
      <c r="C342" s="82" t="s">
        <v>1056</v>
      </c>
      <c r="D342" s="82" t="s">
        <v>400</v>
      </c>
      <c r="E342" s="82" t="s">
        <v>1108</v>
      </c>
      <c r="F342" s="82" t="s">
        <v>814</v>
      </c>
      <c r="G342" s="85" t="s">
        <v>1112</v>
      </c>
      <c r="H342" s="85" t="s">
        <v>1112</v>
      </c>
      <c r="I342" s="82" t="s">
        <v>1226</v>
      </c>
      <c r="J342" s="82" t="s">
        <v>1227</v>
      </c>
      <c r="K342" s="82" t="s">
        <v>385</v>
      </c>
      <c r="L342" s="88" t="s">
        <v>317</v>
      </c>
      <c r="M342" s="54">
        <v>46406</v>
      </c>
      <c r="N342" s="55">
        <v>46438</v>
      </c>
    </row>
    <row r="343" spans="2:14" x14ac:dyDescent="0.25">
      <c r="B343" s="79" t="s">
        <v>381</v>
      </c>
      <c r="C343" s="82" t="s">
        <v>1056</v>
      </c>
      <c r="D343" s="82" t="s">
        <v>400</v>
      </c>
      <c r="E343" s="82" t="s">
        <v>1108</v>
      </c>
      <c r="F343" s="82" t="s">
        <v>814</v>
      </c>
      <c r="G343" s="85" t="s">
        <v>1115</v>
      </c>
      <c r="H343" s="85" t="s">
        <v>1115</v>
      </c>
      <c r="I343" s="82" t="s">
        <v>1228</v>
      </c>
      <c r="J343" s="82" t="s">
        <v>1229</v>
      </c>
      <c r="K343" s="82" t="s">
        <v>385</v>
      </c>
      <c r="L343" s="88" t="s">
        <v>317</v>
      </c>
      <c r="M343" s="54">
        <v>46379</v>
      </c>
      <c r="N343" s="55">
        <v>46411</v>
      </c>
    </row>
    <row r="344" spans="2:14" x14ac:dyDescent="0.25">
      <c r="B344" s="79" t="s">
        <v>381</v>
      </c>
      <c r="C344" s="82" t="s">
        <v>1056</v>
      </c>
      <c r="D344" s="82" t="s">
        <v>400</v>
      </c>
      <c r="E344" s="82" t="s">
        <v>1108</v>
      </c>
      <c r="F344" s="82" t="s">
        <v>814</v>
      </c>
      <c r="G344" s="85" t="s">
        <v>1118</v>
      </c>
      <c r="H344" s="85" t="s">
        <v>1118</v>
      </c>
      <c r="I344" s="82" t="s">
        <v>1230</v>
      </c>
      <c r="J344" s="82" t="s">
        <v>1231</v>
      </c>
      <c r="K344" s="82" t="s">
        <v>385</v>
      </c>
      <c r="L344" s="88" t="s">
        <v>317</v>
      </c>
      <c r="M344" s="54">
        <v>46429</v>
      </c>
      <c r="N344" s="55">
        <v>46464</v>
      </c>
    </row>
    <row r="345" spans="2:14" x14ac:dyDescent="0.25">
      <c r="B345" s="79" t="s">
        <v>381</v>
      </c>
      <c r="C345" s="82" t="s">
        <v>1056</v>
      </c>
      <c r="D345" s="82" t="s">
        <v>400</v>
      </c>
      <c r="E345" s="82" t="s">
        <v>1108</v>
      </c>
      <c r="F345" s="82" t="s">
        <v>814</v>
      </c>
      <c r="G345" s="85" t="s">
        <v>1121</v>
      </c>
      <c r="H345" s="85" t="s">
        <v>1121</v>
      </c>
      <c r="I345" s="82" t="s">
        <v>1232</v>
      </c>
      <c r="J345" s="82" t="s">
        <v>1233</v>
      </c>
      <c r="K345" s="82" t="s">
        <v>385</v>
      </c>
      <c r="L345" s="88" t="s">
        <v>317</v>
      </c>
      <c r="M345" s="54">
        <v>46406</v>
      </c>
      <c r="N345" s="55">
        <v>46438</v>
      </c>
    </row>
    <row r="346" spans="2:14" x14ac:dyDescent="0.25">
      <c r="B346" s="79" t="s">
        <v>381</v>
      </c>
      <c r="C346" s="82" t="s">
        <v>1056</v>
      </c>
      <c r="D346" s="82" t="s">
        <v>400</v>
      </c>
      <c r="E346" s="82" t="s">
        <v>1234</v>
      </c>
      <c r="F346" s="82" t="s">
        <v>1235</v>
      </c>
      <c r="G346" s="85" t="s">
        <v>1235</v>
      </c>
      <c r="H346" s="85" t="s">
        <v>1235</v>
      </c>
      <c r="I346" s="82" t="s">
        <v>1236</v>
      </c>
      <c r="J346" s="82" t="s">
        <v>1237</v>
      </c>
      <c r="K346" s="82" t="s">
        <v>385</v>
      </c>
      <c r="L346" s="88" t="s">
        <v>317</v>
      </c>
      <c r="M346" s="54">
        <v>46529</v>
      </c>
      <c r="N346" s="55">
        <v>46560</v>
      </c>
    </row>
    <row r="347" spans="2:14" x14ac:dyDescent="0.25">
      <c r="B347" s="79" t="s">
        <v>381</v>
      </c>
      <c r="C347" s="82" t="s">
        <v>1056</v>
      </c>
      <c r="D347" s="82" t="s">
        <v>400</v>
      </c>
      <c r="E347" s="82" t="s">
        <v>1234</v>
      </c>
      <c r="F347" s="82" t="s">
        <v>1238</v>
      </c>
      <c r="G347" s="85" t="s">
        <v>1238</v>
      </c>
      <c r="H347" s="85" t="s">
        <v>1238</v>
      </c>
      <c r="I347" s="82" t="s">
        <v>1239</v>
      </c>
      <c r="J347" s="82" t="s">
        <v>1240</v>
      </c>
      <c r="K347" s="82" t="s">
        <v>385</v>
      </c>
      <c r="L347" s="88" t="s">
        <v>317</v>
      </c>
      <c r="M347" s="54">
        <v>46529</v>
      </c>
      <c r="N347" s="55">
        <v>46560</v>
      </c>
    </row>
    <row r="348" spans="2:14" x14ac:dyDescent="0.25">
      <c r="B348" s="79" t="s">
        <v>381</v>
      </c>
      <c r="C348" s="82" t="s">
        <v>1056</v>
      </c>
      <c r="D348" s="82" t="s">
        <v>400</v>
      </c>
      <c r="E348" s="82" t="s">
        <v>1234</v>
      </c>
      <c r="F348" s="82" t="s">
        <v>1241</v>
      </c>
      <c r="G348" s="85" t="s">
        <v>1241</v>
      </c>
      <c r="H348" s="85" t="s">
        <v>1241</v>
      </c>
      <c r="I348" s="82" t="s">
        <v>1242</v>
      </c>
      <c r="J348" s="82" t="s">
        <v>1243</v>
      </c>
      <c r="K348" s="82" t="s">
        <v>385</v>
      </c>
      <c r="L348" s="88" t="s">
        <v>317</v>
      </c>
      <c r="M348" s="54">
        <v>46529</v>
      </c>
      <c r="N348" s="55">
        <v>46560</v>
      </c>
    </row>
    <row r="349" spans="2:14" x14ac:dyDescent="0.25">
      <c r="B349" s="79" t="s">
        <v>381</v>
      </c>
      <c r="C349" s="82" t="s">
        <v>1056</v>
      </c>
      <c r="D349" s="82" t="s">
        <v>400</v>
      </c>
      <c r="E349" s="82" t="s">
        <v>1234</v>
      </c>
      <c r="F349" s="82" t="s">
        <v>1244</v>
      </c>
      <c r="G349" s="85" t="s">
        <v>1244</v>
      </c>
      <c r="H349" s="85" t="s">
        <v>1244</v>
      </c>
      <c r="I349" s="82" t="s">
        <v>1245</v>
      </c>
      <c r="J349" s="82" t="s">
        <v>1246</v>
      </c>
      <c r="K349" s="82" t="s">
        <v>385</v>
      </c>
      <c r="L349" s="88" t="s">
        <v>317</v>
      </c>
      <c r="M349" s="54">
        <v>46453</v>
      </c>
      <c r="N349" s="55">
        <v>46487</v>
      </c>
    </row>
    <row r="350" spans="2:14" x14ac:dyDescent="0.25">
      <c r="B350" s="79" t="s">
        <v>381</v>
      </c>
      <c r="C350" s="82" t="s">
        <v>1056</v>
      </c>
      <c r="D350" s="82" t="s">
        <v>400</v>
      </c>
      <c r="E350" s="82" t="s">
        <v>1247</v>
      </c>
      <c r="F350" s="82" t="s">
        <v>1248</v>
      </c>
      <c r="G350" s="85" t="s">
        <v>1248</v>
      </c>
      <c r="H350" s="85" t="s">
        <v>1248</v>
      </c>
      <c r="I350" s="82" t="s">
        <v>1249</v>
      </c>
      <c r="J350" s="82" t="s">
        <v>1250</v>
      </c>
      <c r="K350" s="82" t="s">
        <v>385</v>
      </c>
      <c r="L350" s="88" t="s">
        <v>310</v>
      </c>
      <c r="M350" s="54">
        <v>46575</v>
      </c>
      <c r="N350" s="55">
        <v>46599</v>
      </c>
    </row>
    <row r="351" spans="2:14" x14ac:dyDescent="0.25">
      <c r="B351" s="79" t="s">
        <v>381</v>
      </c>
      <c r="C351" s="82" t="s">
        <v>1056</v>
      </c>
      <c r="D351" s="82" t="s">
        <v>400</v>
      </c>
      <c r="E351" s="82" t="s">
        <v>1247</v>
      </c>
      <c r="F351" s="82" t="s">
        <v>1251</v>
      </c>
      <c r="G351" s="85" t="s">
        <v>1251</v>
      </c>
      <c r="H351" s="85" t="s">
        <v>1251</v>
      </c>
      <c r="I351" s="82" t="s">
        <v>1252</v>
      </c>
      <c r="J351" s="82" t="s">
        <v>1253</v>
      </c>
      <c r="K351" s="82" t="s">
        <v>385</v>
      </c>
      <c r="L351" s="88" t="s">
        <v>317</v>
      </c>
      <c r="M351" s="54">
        <v>46502</v>
      </c>
      <c r="N351" s="55">
        <v>46538</v>
      </c>
    </row>
    <row r="352" spans="2:14" x14ac:dyDescent="0.25">
      <c r="B352" s="79" t="s">
        <v>381</v>
      </c>
      <c r="C352" s="82" t="s">
        <v>1056</v>
      </c>
      <c r="D352" s="82" t="s">
        <v>400</v>
      </c>
      <c r="E352" s="82" t="s">
        <v>1247</v>
      </c>
      <c r="F352" s="82" t="s">
        <v>1254</v>
      </c>
      <c r="G352" s="85" t="s">
        <v>1254</v>
      </c>
      <c r="H352" s="85" t="s">
        <v>1254</v>
      </c>
      <c r="I352" s="82" t="s">
        <v>1255</v>
      </c>
      <c r="J352" s="82" t="s">
        <v>1256</v>
      </c>
      <c r="K352" s="82" t="s">
        <v>385</v>
      </c>
      <c r="L352" s="88" t="s">
        <v>317</v>
      </c>
      <c r="M352" s="54">
        <v>46502</v>
      </c>
      <c r="N352" s="55">
        <v>46538</v>
      </c>
    </row>
    <row r="353" spans="2:14" x14ac:dyDescent="0.25">
      <c r="B353" s="79" t="s">
        <v>381</v>
      </c>
      <c r="C353" s="82" t="s">
        <v>1056</v>
      </c>
      <c r="D353" s="82" t="s">
        <v>400</v>
      </c>
      <c r="E353" s="82" t="s">
        <v>1247</v>
      </c>
      <c r="F353" s="82" t="s">
        <v>1257</v>
      </c>
      <c r="G353" s="85" t="s">
        <v>1257</v>
      </c>
      <c r="H353" s="85" t="s">
        <v>1257</v>
      </c>
      <c r="I353" s="82" t="s">
        <v>1258</v>
      </c>
      <c r="J353" s="82" t="s">
        <v>1259</v>
      </c>
      <c r="K353" s="82" t="s">
        <v>385</v>
      </c>
      <c r="L353" s="88" t="s">
        <v>310</v>
      </c>
      <c r="M353" s="54">
        <v>46614</v>
      </c>
      <c r="N353" s="55">
        <v>46637</v>
      </c>
    </row>
    <row r="354" spans="2:14" x14ac:dyDescent="0.25">
      <c r="B354" s="79" t="s">
        <v>381</v>
      </c>
      <c r="C354" s="82" t="s">
        <v>1056</v>
      </c>
      <c r="D354" s="82" t="s">
        <v>400</v>
      </c>
      <c r="E354" s="82" t="s">
        <v>1247</v>
      </c>
      <c r="F354" s="82" t="s">
        <v>1260</v>
      </c>
      <c r="G354" s="85" t="s">
        <v>1260</v>
      </c>
      <c r="H354" s="85" t="s">
        <v>1260</v>
      </c>
      <c r="I354" s="82" t="s">
        <v>1261</v>
      </c>
      <c r="J354" s="82" t="s">
        <v>1262</v>
      </c>
      <c r="K354" s="82" t="s">
        <v>385</v>
      </c>
      <c r="L354" s="88" t="s">
        <v>310</v>
      </c>
      <c r="M354" s="54">
        <v>46575</v>
      </c>
      <c r="N354" s="55">
        <v>46599</v>
      </c>
    </row>
    <row r="355" spans="2:14" x14ac:dyDescent="0.25">
      <c r="B355" s="79" t="s">
        <v>381</v>
      </c>
      <c r="C355" s="82" t="s">
        <v>1056</v>
      </c>
      <c r="D355" s="82" t="s">
        <v>400</v>
      </c>
      <c r="E355" s="82" t="s">
        <v>1247</v>
      </c>
      <c r="F355" s="82" t="s">
        <v>1263</v>
      </c>
      <c r="G355" s="85" t="s">
        <v>1263</v>
      </c>
      <c r="H355" s="85" t="s">
        <v>1263</v>
      </c>
      <c r="I355" s="82" t="s">
        <v>1264</v>
      </c>
      <c r="J355" s="82" t="s">
        <v>1265</v>
      </c>
      <c r="K355" s="82" t="s">
        <v>385</v>
      </c>
      <c r="L355" s="88" t="s">
        <v>310</v>
      </c>
      <c r="M355" s="54">
        <v>46652</v>
      </c>
      <c r="N355" s="55">
        <v>46677</v>
      </c>
    </row>
    <row r="356" spans="2:14" x14ac:dyDescent="0.25">
      <c r="B356" s="79" t="s">
        <v>381</v>
      </c>
      <c r="C356" s="82" t="s">
        <v>1056</v>
      </c>
      <c r="D356" s="82" t="s">
        <v>400</v>
      </c>
      <c r="E356" s="82" t="s">
        <v>1247</v>
      </c>
      <c r="F356" s="82" t="s">
        <v>1266</v>
      </c>
      <c r="G356" s="85" t="s">
        <v>1266</v>
      </c>
      <c r="H356" s="85" t="s">
        <v>1266</v>
      </c>
      <c r="I356" s="82" t="s">
        <v>1267</v>
      </c>
      <c r="J356" s="82" t="s">
        <v>1268</v>
      </c>
      <c r="K356" s="82" t="s">
        <v>385</v>
      </c>
      <c r="L356" s="88" t="s">
        <v>317</v>
      </c>
      <c r="M356" s="54">
        <v>46502</v>
      </c>
      <c r="N356" s="55">
        <v>46538</v>
      </c>
    </row>
    <row r="357" spans="2:14" x14ac:dyDescent="0.25">
      <c r="B357" s="79" t="s">
        <v>381</v>
      </c>
      <c r="C357" s="82" t="s">
        <v>1056</v>
      </c>
      <c r="D357" s="82" t="s">
        <v>400</v>
      </c>
      <c r="E357" s="82" t="s">
        <v>1269</v>
      </c>
      <c r="F357" s="82" t="s">
        <v>1270</v>
      </c>
      <c r="G357" s="85" t="s">
        <v>1109</v>
      </c>
      <c r="H357" s="85" t="s">
        <v>1109</v>
      </c>
      <c r="I357" s="82" t="s">
        <v>1271</v>
      </c>
      <c r="J357" s="82" t="s">
        <v>1272</v>
      </c>
      <c r="K357" s="82" t="s">
        <v>385</v>
      </c>
      <c r="L357" s="88" t="s">
        <v>317</v>
      </c>
      <c r="M357" s="54">
        <v>46652</v>
      </c>
      <c r="N357" s="55">
        <v>46685</v>
      </c>
    </row>
    <row r="358" spans="2:14" x14ac:dyDescent="0.25">
      <c r="B358" s="79" t="s">
        <v>381</v>
      </c>
      <c r="C358" s="82" t="s">
        <v>1056</v>
      </c>
      <c r="D358" s="82" t="s">
        <v>400</v>
      </c>
      <c r="E358" s="82" t="s">
        <v>1269</v>
      </c>
      <c r="F358" s="82" t="s">
        <v>1270</v>
      </c>
      <c r="G358" s="85" t="s">
        <v>1273</v>
      </c>
      <c r="H358" s="85" t="s">
        <v>1273</v>
      </c>
      <c r="I358" s="82" t="s">
        <v>1274</v>
      </c>
      <c r="J358" s="82" t="s">
        <v>1275</v>
      </c>
      <c r="K358" s="82" t="s">
        <v>385</v>
      </c>
      <c r="L358" s="88" t="s">
        <v>310</v>
      </c>
      <c r="M358" s="54">
        <v>46692</v>
      </c>
      <c r="N358" s="55">
        <v>46715</v>
      </c>
    </row>
    <row r="359" spans="2:14" x14ac:dyDescent="0.25">
      <c r="B359" s="79" t="s">
        <v>381</v>
      </c>
      <c r="C359" s="82" t="s">
        <v>1056</v>
      </c>
      <c r="D359" s="82" t="s">
        <v>400</v>
      </c>
      <c r="E359" s="82" t="s">
        <v>1269</v>
      </c>
      <c r="F359" s="82" t="s">
        <v>1270</v>
      </c>
      <c r="G359" s="85" t="s">
        <v>1263</v>
      </c>
      <c r="H359" s="85" t="s">
        <v>1263</v>
      </c>
      <c r="I359" s="82" t="s">
        <v>1276</v>
      </c>
      <c r="J359" s="82" t="s">
        <v>1277</v>
      </c>
      <c r="K359" s="82" t="s">
        <v>385</v>
      </c>
      <c r="L359" s="88" t="s">
        <v>310</v>
      </c>
      <c r="M359" s="54">
        <v>46692</v>
      </c>
      <c r="N359" s="55">
        <v>46715</v>
      </c>
    </row>
    <row r="360" spans="2:14" x14ac:dyDescent="0.25">
      <c r="B360" s="79" t="s">
        <v>381</v>
      </c>
      <c r="C360" s="82" t="s">
        <v>1056</v>
      </c>
      <c r="D360" s="82" t="s">
        <v>400</v>
      </c>
      <c r="E360" s="82" t="s">
        <v>1269</v>
      </c>
      <c r="F360" s="82" t="s">
        <v>1270</v>
      </c>
      <c r="G360" s="85" t="s">
        <v>1278</v>
      </c>
      <c r="H360" s="85" t="s">
        <v>1278</v>
      </c>
      <c r="I360" s="82" t="s">
        <v>1279</v>
      </c>
      <c r="J360" s="82" t="s">
        <v>1280</v>
      </c>
      <c r="K360" s="82" t="s">
        <v>385</v>
      </c>
      <c r="L360" s="88" t="s">
        <v>317</v>
      </c>
      <c r="M360" s="54">
        <v>46652</v>
      </c>
      <c r="N360" s="55">
        <v>46685</v>
      </c>
    </row>
    <row r="361" spans="2:14" x14ac:dyDescent="0.25">
      <c r="B361" s="79" t="s">
        <v>381</v>
      </c>
      <c r="C361" s="82" t="s">
        <v>1056</v>
      </c>
      <c r="D361" s="82" t="s">
        <v>400</v>
      </c>
      <c r="E361" s="82" t="s">
        <v>1269</v>
      </c>
      <c r="F361" s="82" t="s">
        <v>1270</v>
      </c>
      <c r="G361" s="85" t="s">
        <v>1061</v>
      </c>
      <c r="H361" s="85" t="s">
        <v>1061</v>
      </c>
      <c r="I361" s="82" t="s">
        <v>1281</v>
      </c>
      <c r="J361" s="82" t="s">
        <v>1282</v>
      </c>
      <c r="K361" s="82" t="s">
        <v>385</v>
      </c>
      <c r="L361" s="88" t="s">
        <v>317</v>
      </c>
      <c r="M361" s="54">
        <v>46652</v>
      </c>
      <c r="N361" s="55">
        <v>46685</v>
      </c>
    </row>
    <row r="362" spans="2:14" x14ac:dyDescent="0.25">
      <c r="B362" s="79" t="s">
        <v>381</v>
      </c>
      <c r="C362" s="82" t="s">
        <v>1056</v>
      </c>
      <c r="D362" s="82" t="s">
        <v>400</v>
      </c>
      <c r="E362" s="82" t="s">
        <v>1269</v>
      </c>
      <c r="F362" s="82" t="s">
        <v>1270</v>
      </c>
      <c r="G362" s="85" t="s">
        <v>1283</v>
      </c>
      <c r="H362" s="85" t="s">
        <v>1283</v>
      </c>
      <c r="I362" s="82" t="s">
        <v>1284</v>
      </c>
      <c r="J362" s="82" t="s">
        <v>1285</v>
      </c>
      <c r="K362" s="82" t="s">
        <v>385</v>
      </c>
      <c r="L362" s="88" t="s">
        <v>317</v>
      </c>
      <c r="M362" s="54">
        <v>46652</v>
      </c>
      <c r="N362" s="55">
        <v>46685</v>
      </c>
    </row>
    <row r="363" spans="2:14" x14ac:dyDescent="0.25">
      <c r="B363" s="79" t="s">
        <v>381</v>
      </c>
      <c r="C363" s="82" t="s">
        <v>1056</v>
      </c>
      <c r="D363" s="82" t="s">
        <v>400</v>
      </c>
      <c r="E363" s="82" t="s">
        <v>1269</v>
      </c>
      <c r="F363" s="82" t="s">
        <v>1286</v>
      </c>
      <c r="G363" s="85" t="s">
        <v>1286</v>
      </c>
      <c r="H363" s="85" t="s">
        <v>1286</v>
      </c>
      <c r="I363" s="82" t="s">
        <v>1287</v>
      </c>
      <c r="J363" s="82" t="s">
        <v>1288</v>
      </c>
      <c r="K363" s="82" t="s">
        <v>385</v>
      </c>
      <c r="L363" s="88" t="s">
        <v>317</v>
      </c>
      <c r="M363" s="54">
        <v>46730</v>
      </c>
      <c r="N363" s="55">
        <v>46762</v>
      </c>
    </row>
    <row r="364" spans="2:14" x14ac:dyDescent="0.25">
      <c r="B364" s="79" t="s">
        <v>381</v>
      </c>
      <c r="C364" s="82" t="s">
        <v>1056</v>
      </c>
      <c r="D364" s="82" t="s">
        <v>400</v>
      </c>
      <c r="E364" s="82" t="s">
        <v>1269</v>
      </c>
      <c r="F364" s="82" t="s">
        <v>1289</v>
      </c>
      <c r="G364" s="85" t="s">
        <v>1289</v>
      </c>
      <c r="H364" s="85" t="s">
        <v>1289</v>
      </c>
      <c r="I364" s="82" t="s">
        <v>1290</v>
      </c>
      <c r="J364" s="82" t="s">
        <v>1291</v>
      </c>
      <c r="K364" s="82" t="s">
        <v>385</v>
      </c>
      <c r="L364" s="88" t="s">
        <v>310</v>
      </c>
      <c r="M364" s="54">
        <v>46784</v>
      </c>
      <c r="N364" s="55">
        <v>46809</v>
      </c>
    </row>
    <row r="365" spans="2:14" x14ac:dyDescent="0.25">
      <c r="B365" s="79" t="s">
        <v>381</v>
      </c>
      <c r="C365" s="82" t="s">
        <v>1056</v>
      </c>
      <c r="D365" s="82" t="s">
        <v>400</v>
      </c>
      <c r="E365" s="82" t="s">
        <v>1269</v>
      </c>
      <c r="F365" s="82" t="s">
        <v>1053</v>
      </c>
      <c r="G365" s="85" t="s">
        <v>1053</v>
      </c>
      <c r="H365" s="85" t="s">
        <v>1053</v>
      </c>
      <c r="I365" s="82" t="s">
        <v>1292</v>
      </c>
      <c r="J365" s="82" t="s">
        <v>1293</v>
      </c>
      <c r="K365" s="82" t="s">
        <v>385</v>
      </c>
      <c r="L365" s="88" t="s">
        <v>317</v>
      </c>
      <c r="M365" s="54">
        <v>46387</v>
      </c>
      <c r="N365" s="55">
        <v>46419</v>
      </c>
    </row>
    <row r="366" spans="2:14" x14ac:dyDescent="0.25">
      <c r="B366" s="79" t="s">
        <v>381</v>
      </c>
      <c r="C366" s="82" t="s">
        <v>1056</v>
      </c>
      <c r="D366" s="82" t="s">
        <v>400</v>
      </c>
      <c r="E366" s="82" t="s">
        <v>1269</v>
      </c>
      <c r="F366" s="82" t="s">
        <v>1294</v>
      </c>
      <c r="G366" s="85" t="s">
        <v>688</v>
      </c>
      <c r="H366" s="85" t="s">
        <v>1294</v>
      </c>
      <c r="I366" s="82" t="s">
        <v>1295</v>
      </c>
      <c r="J366" s="82" t="s">
        <v>1296</v>
      </c>
      <c r="K366" s="82" t="s">
        <v>385</v>
      </c>
      <c r="L366" s="88" t="s">
        <v>317</v>
      </c>
      <c r="M366" s="54">
        <v>46187</v>
      </c>
      <c r="N366" s="55">
        <v>46218</v>
      </c>
    </row>
    <row r="367" spans="2:14" x14ac:dyDescent="0.25">
      <c r="B367" s="79" t="s">
        <v>381</v>
      </c>
      <c r="C367" s="82" t="s">
        <v>1056</v>
      </c>
      <c r="D367" s="82" t="s">
        <v>400</v>
      </c>
      <c r="E367" s="82" t="s">
        <v>1269</v>
      </c>
      <c r="F367" s="82" t="s">
        <v>1294</v>
      </c>
      <c r="G367" s="85" t="s">
        <v>688</v>
      </c>
      <c r="H367" s="85" t="s">
        <v>1297</v>
      </c>
      <c r="I367" s="82" t="s">
        <v>1298</v>
      </c>
      <c r="J367" s="82" t="s">
        <v>1299</v>
      </c>
      <c r="K367" s="82" t="s">
        <v>385</v>
      </c>
      <c r="L367" s="88" t="s">
        <v>310</v>
      </c>
      <c r="M367" s="54">
        <v>46242</v>
      </c>
      <c r="N367" s="55">
        <v>46265</v>
      </c>
    </row>
    <row r="368" spans="2:14" x14ac:dyDescent="0.25">
      <c r="B368" s="79" t="s">
        <v>381</v>
      </c>
      <c r="C368" s="82" t="s">
        <v>1056</v>
      </c>
      <c r="D368" s="82" t="s">
        <v>400</v>
      </c>
      <c r="E368" s="82" t="s">
        <v>1269</v>
      </c>
      <c r="F368" s="82" t="s">
        <v>1294</v>
      </c>
      <c r="G368" s="85" t="s">
        <v>688</v>
      </c>
      <c r="H368" s="85" t="s">
        <v>1300</v>
      </c>
      <c r="I368" s="82" t="s">
        <v>1301</v>
      </c>
      <c r="J368" s="82" t="s">
        <v>1302</v>
      </c>
      <c r="K368" s="82" t="s">
        <v>385</v>
      </c>
      <c r="L368" s="88" t="s">
        <v>310</v>
      </c>
      <c r="M368" s="54">
        <v>46242</v>
      </c>
      <c r="N368" s="55">
        <v>46265</v>
      </c>
    </row>
    <row r="369" spans="2:14" x14ac:dyDescent="0.25">
      <c r="B369" s="79" t="s">
        <v>381</v>
      </c>
      <c r="C369" s="82" t="s">
        <v>1056</v>
      </c>
      <c r="D369" s="82" t="s">
        <v>400</v>
      </c>
      <c r="E369" s="82" t="s">
        <v>1269</v>
      </c>
      <c r="F369" s="82" t="s">
        <v>1294</v>
      </c>
      <c r="G369" s="85" t="s">
        <v>688</v>
      </c>
      <c r="H369" s="85" t="s">
        <v>1303</v>
      </c>
      <c r="I369" s="82" t="s">
        <v>1304</v>
      </c>
      <c r="J369" s="82" t="s">
        <v>1305</v>
      </c>
      <c r="K369" s="82" t="s">
        <v>385</v>
      </c>
      <c r="L369" s="88" t="s">
        <v>310</v>
      </c>
      <c r="M369" s="54">
        <v>46242</v>
      </c>
      <c r="N369" s="55">
        <v>46265</v>
      </c>
    </row>
    <row r="370" spans="2:14" x14ac:dyDescent="0.25">
      <c r="B370" s="79" t="s">
        <v>381</v>
      </c>
      <c r="C370" s="82" t="s">
        <v>1056</v>
      </c>
      <c r="D370" s="82" t="s">
        <v>400</v>
      </c>
      <c r="E370" s="82" t="s">
        <v>1269</v>
      </c>
      <c r="F370" s="82" t="s">
        <v>1294</v>
      </c>
      <c r="G370" s="85" t="s">
        <v>704</v>
      </c>
      <c r="H370" s="85" t="s">
        <v>1294</v>
      </c>
      <c r="I370" s="82" t="s">
        <v>1306</v>
      </c>
      <c r="J370" s="82" t="s">
        <v>1307</v>
      </c>
      <c r="K370" s="82" t="s">
        <v>385</v>
      </c>
      <c r="L370" s="88" t="s">
        <v>317</v>
      </c>
      <c r="M370" s="54">
        <v>46219</v>
      </c>
      <c r="N370" s="55">
        <v>46251</v>
      </c>
    </row>
    <row r="371" spans="2:14" x14ac:dyDescent="0.25">
      <c r="B371" s="79" t="s">
        <v>381</v>
      </c>
      <c r="C371" s="82" t="s">
        <v>1056</v>
      </c>
      <c r="D371" s="82" t="s">
        <v>400</v>
      </c>
      <c r="E371" s="82" t="s">
        <v>1269</v>
      </c>
      <c r="F371" s="82" t="s">
        <v>1294</v>
      </c>
      <c r="G371" s="85" t="s">
        <v>704</v>
      </c>
      <c r="H371" s="85" t="s">
        <v>1308</v>
      </c>
      <c r="I371" s="82" t="s">
        <v>1309</v>
      </c>
      <c r="J371" s="82" t="s">
        <v>1310</v>
      </c>
      <c r="K371" s="82" t="s">
        <v>385</v>
      </c>
      <c r="L371" s="88" t="s">
        <v>214</v>
      </c>
      <c r="M371" s="54">
        <v>46266</v>
      </c>
      <c r="N371" s="55">
        <v>46281</v>
      </c>
    </row>
    <row r="372" spans="2:14" x14ac:dyDescent="0.25">
      <c r="B372" s="79" t="s">
        <v>381</v>
      </c>
      <c r="C372" s="82" t="s">
        <v>1056</v>
      </c>
      <c r="D372" s="82" t="s">
        <v>400</v>
      </c>
      <c r="E372" s="82" t="s">
        <v>1269</v>
      </c>
      <c r="F372" s="82" t="s">
        <v>1294</v>
      </c>
      <c r="G372" s="85" t="s">
        <v>704</v>
      </c>
      <c r="H372" s="85" t="s">
        <v>1311</v>
      </c>
      <c r="I372" s="82" t="s">
        <v>1312</v>
      </c>
      <c r="J372" s="82" t="s">
        <v>1313</v>
      </c>
      <c r="K372" s="82" t="s">
        <v>385</v>
      </c>
      <c r="L372" s="88" t="s">
        <v>214</v>
      </c>
      <c r="M372" s="54">
        <v>46266</v>
      </c>
      <c r="N372" s="55">
        <v>46281</v>
      </c>
    </row>
    <row r="373" spans="2:14" x14ac:dyDescent="0.25">
      <c r="B373" s="79" t="s">
        <v>381</v>
      </c>
      <c r="C373" s="82" t="s">
        <v>1056</v>
      </c>
      <c r="D373" s="82" t="s">
        <v>400</v>
      </c>
      <c r="E373" s="82" t="s">
        <v>1269</v>
      </c>
      <c r="F373" s="82" t="s">
        <v>1294</v>
      </c>
      <c r="G373" s="85" t="s">
        <v>704</v>
      </c>
      <c r="H373" s="85" t="s">
        <v>1314</v>
      </c>
      <c r="I373" s="82" t="s">
        <v>1315</v>
      </c>
      <c r="J373" s="82" t="s">
        <v>1316</v>
      </c>
      <c r="K373" s="82" t="s">
        <v>385</v>
      </c>
      <c r="L373" s="88" t="s">
        <v>214</v>
      </c>
      <c r="M373" s="54">
        <v>46300</v>
      </c>
      <c r="N373" s="55">
        <v>46315</v>
      </c>
    </row>
    <row r="374" spans="2:14" x14ac:dyDescent="0.25">
      <c r="B374" s="79" t="s">
        <v>381</v>
      </c>
      <c r="C374" s="82" t="s">
        <v>1056</v>
      </c>
      <c r="D374" s="82" t="s">
        <v>400</v>
      </c>
      <c r="E374" s="82" t="s">
        <v>1269</v>
      </c>
      <c r="F374" s="82" t="s">
        <v>1294</v>
      </c>
      <c r="G374" s="85" t="s">
        <v>704</v>
      </c>
      <c r="H374" s="85" t="s">
        <v>1317</v>
      </c>
      <c r="I374" s="82" t="s">
        <v>1318</v>
      </c>
      <c r="J374" s="82" t="s">
        <v>1319</v>
      </c>
      <c r="K374" s="82" t="s">
        <v>385</v>
      </c>
      <c r="L374" s="88" t="s">
        <v>214</v>
      </c>
      <c r="M374" s="54">
        <v>46266</v>
      </c>
      <c r="N374" s="55">
        <v>46281</v>
      </c>
    </row>
    <row r="375" spans="2:14" x14ac:dyDescent="0.25">
      <c r="B375" s="79" t="s">
        <v>381</v>
      </c>
      <c r="C375" s="82" t="s">
        <v>1056</v>
      </c>
      <c r="D375" s="82" t="s">
        <v>400</v>
      </c>
      <c r="E375" s="82" t="s">
        <v>1269</v>
      </c>
      <c r="F375" s="82" t="s">
        <v>1294</v>
      </c>
      <c r="G375" s="85" t="s">
        <v>704</v>
      </c>
      <c r="H375" s="85" t="s">
        <v>1303</v>
      </c>
      <c r="I375" s="82" t="s">
        <v>1320</v>
      </c>
      <c r="J375" s="82" t="s">
        <v>1321</v>
      </c>
      <c r="K375" s="82" t="s">
        <v>385</v>
      </c>
      <c r="L375" s="88" t="s">
        <v>214</v>
      </c>
      <c r="M375" s="54">
        <v>46289</v>
      </c>
      <c r="N375" s="55">
        <v>46305</v>
      </c>
    </row>
    <row r="376" spans="2:14" x14ac:dyDescent="0.25">
      <c r="B376" s="79" t="s">
        <v>381</v>
      </c>
      <c r="C376" s="82" t="s">
        <v>1056</v>
      </c>
      <c r="D376" s="82" t="s">
        <v>400</v>
      </c>
      <c r="E376" s="82" t="s">
        <v>1269</v>
      </c>
      <c r="F376" s="82" t="s">
        <v>1294</v>
      </c>
      <c r="G376" s="85" t="s">
        <v>704</v>
      </c>
      <c r="H376" s="85" t="s">
        <v>1322</v>
      </c>
      <c r="I376" s="82" t="s">
        <v>1323</v>
      </c>
      <c r="J376" s="82" t="s">
        <v>1324</v>
      </c>
      <c r="K376" s="82" t="s">
        <v>385</v>
      </c>
      <c r="L376" s="88" t="s">
        <v>317</v>
      </c>
      <c r="M376" s="54">
        <v>46266</v>
      </c>
      <c r="N376" s="55">
        <v>46299</v>
      </c>
    </row>
    <row r="377" spans="2:14" x14ac:dyDescent="0.25">
      <c r="B377" s="79" t="s">
        <v>381</v>
      </c>
      <c r="C377" s="82" t="s">
        <v>1056</v>
      </c>
      <c r="D377" s="82" t="s">
        <v>400</v>
      </c>
      <c r="E377" s="82" t="s">
        <v>1269</v>
      </c>
      <c r="F377" s="82" t="s">
        <v>1294</v>
      </c>
      <c r="G377" s="85" t="s">
        <v>715</v>
      </c>
      <c r="H377" s="85" t="s">
        <v>1294</v>
      </c>
      <c r="I377" s="82" t="s">
        <v>1325</v>
      </c>
      <c r="J377" s="82" t="s">
        <v>1326</v>
      </c>
      <c r="K377" s="82" t="s">
        <v>385</v>
      </c>
      <c r="L377" s="88" t="s">
        <v>214</v>
      </c>
      <c r="M377" s="54">
        <v>46252</v>
      </c>
      <c r="N377" s="55">
        <v>46267</v>
      </c>
    </row>
    <row r="378" spans="2:14" x14ac:dyDescent="0.25">
      <c r="B378" s="79" t="s">
        <v>381</v>
      </c>
      <c r="C378" s="82" t="s">
        <v>1056</v>
      </c>
      <c r="D378" s="82" t="s">
        <v>400</v>
      </c>
      <c r="E378" s="82" t="s">
        <v>1269</v>
      </c>
      <c r="F378" s="82" t="s">
        <v>1294</v>
      </c>
      <c r="G378" s="85" t="s">
        <v>715</v>
      </c>
      <c r="H378" s="85" t="s">
        <v>1303</v>
      </c>
      <c r="I378" s="82" t="s">
        <v>1327</v>
      </c>
      <c r="J378" s="82" t="s">
        <v>1328</v>
      </c>
      <c r="K378" s="82" t="s">
        <v>385</v>
      </c>
      <c r="L378" s="88" t="s">
        <v>214</v>
      </c>
      <c r="M378" s="54">
        <v>46282</v>
      </c>
      <c r="N378" s="55">
        <v>46299</v>
      </c>
    </row>
    <row r="379" spans="2:14" x14ac:dyDescent="0.25">
      <c r="B379" s="79" t="s">
        <v>381</v>
      </c>
      <c r="C379" s="82" t="s">
        <v>1056</v>
      </c>
      <c r="D379" s="82" t="s">
        <v>400</v>
      </c>
      <c r="E379" s="82" t="s">
        <v>1269</v>
      </c>
      <c r="F379" s="82" t="s">
        <v>1294</v>
      </c>
      <c r="G379" s="85" t="s">
        <v>715</v>
      </c>
      <c r="H379" s="85" t="s">
        <v>1329</v>
      </c>
      <c r="I379" s="82" t="s">
        <v>1330</v>
      </c>
      <c r="J379" s="82" t="s">
        <v>1331</v>
      </c>
      <c r="K379" s="82" t="s">
        <v>385</v>
      </c>
      <c r="L379" s="88" t="s">
        <v>214</v>
      </c>
      <c r="M379" s="54">
        <v>46282</v>
      </c>
      <c r="N379" s="55">
        <v>46299</v>
      </c>
    </row>
    <row r="380" spans="2:14" x14ac:dyDescent="0.25">
      <c r="B380" s="79" t="s">
        <v>381</v>
      </c>
      <c r="C380" s="82" t="s">
        <v>1056</v>
      </c>
      <c r="D380" s="82" t="s">
        <v>400</v>
      </c>
      <c r="E380" s="82" t="s">
        <v>1269</v>
      </c>
      <c r="F380" s="82" t="s">
        <v>1294</v>
      </c>
      <c r="G380" s="85" t="s">
        <v>715</v>
      </c>
      <c r="H380" s="85" t="s">
        <v>1332</v>
      </c>
      <c r="I380" s="82" t="s">
        <v>1333</v>
      </c>
      <c r="J380" s="82" t="s">
        <v>1334</v>
      </c>
      <c r="K380" s="82" t="s">
        <v>385</v>
      </c>
      <c r="L380" s="88" t="s">
        <v>214</v>
      </c>
      <c r="M380" s="54">
        <v>46282</v>
      </c>
      <c r="N380" s="55">
        <v>46299</v>
      </c>
    </row>
    <row r="381" spans="2:14" x14ac:dyDescent="0.25">
      <c r="B381" s="79" t="s">
        <v>381</v>
      </c>
      <c r="C381" s="82" t="s">
        <v>1056</v>
      </c>
      <c r="D381" s="82" t="s">
        <v>400</v>
      </c>
      <c r="E381" s="82" t="s">
        <v>1269</v>
      </c>
      <c r="F381" s="82" t="s">
        <v>1294</v>
      </c>
      <c r="G381" s="85" t="s">
        <v>715</v>
      </c>
      <c r="H381" s="85" t="s">
        <v>1322</v>
      </c>
      <c r="I381" s="82" t="s">
        <v>1335</v>
      </c>
      <c r="J381" s="82" t="s">
        <v>1336</v>
      </c>
      <c r="K381" s="82" t="s">
        <v>385</v>
      </c>
      <c r="L381" s="88" t="s">
        <v>214</v>
      </c>
      <c r="M381" s="54">
        <v>46282</v>
      </c>
      <c r="N381" s="55">
        <v>46299</v>
      </c>
    </row>
    <row r="382" spans="2:14" x14ac:dyDescent="0.25">
      <c r="B382" s="79" t="s">
        <v>381</v>
      </c>
      <c r="C382" s="82" t="s">
        <v>1056</v>
      </c>
      <c r="D382" s="82" t="s">
        <v>400</v>
      </c>
      <c r="E382" s="82" t="s">
        <v>1269</v>
      </c>
      <c r="F382" s="82" t="s">
        <v>1294</v>
      </c>
      <c r="G382" s="85" t="s">
        <v>726</v>
      </c>
      <c r="H382" s="85" t="s">
        <v>1294</v>
      </c>
      <c r="I382" s="82" t="s">
        <v>1337</v>
      </c>
      <c r="J382" s="82" t="s">
        <v>1338</v>
      </c>
      <c r="K382" s="82" t="s">
        <v>385</v>
      </c>
      <c r="L382" s="88" t="s">
        <v>310</v>
      </c>
      <c r="M382" s="54">
        <v>46268</v>
      </c>
      <c r="N382" s="55">
        <v>46293</v>
      </c>
    </row>
    <row r="383" spans="2:14" x14ac:dyDescent="0.25">
      <c r="B383" s="79" t="s">
        <v>381</v>
      </c>
      <c r="C383" s="82" t="s">
        <v>1056</v>
      </c>
      <c r="D383" s="82" t="s">
        <v>400</v>
      </c>
      <c r="E383" s="82" t="s">
        <v>1269</v>
      </c>
      <c r="F383" s="82" t="s">
        <v>1294</v>
      </c>
      <c r="G383" s="85" t="s">
        <v>737</v>
      </c>
      <c r="H383" s="85" t="s">
        <v>1294</v>
      </c>
      <c r="I383" s="82" t="s">
        <v>1339</v>
      </c>
      <c r="J383" s="82" t="s">
        <v>1340</v>
      </c>
      <c r="K383" s="82" t="s">
        <v>385</v>
      </c>
      <c r="L383" s="88" t="s">
        <v>310</v>
      </c>
      <c r="M383" s="54">
        <v>46294</v>
      </c>
      <c r="N383" s="55">
        <v>46317</v>
      </c>
    </row>
    <row r="384" spans="2:14" x14ac:dyDescent="0.25">
      <c r="B384" s="79" t="s">
        <v>381</v>
      </c>
      <c r="C384" s="82" t="s">
        <v>1056</v>
      </c>
      <c r="D384" s="82" t="s">
        <v>400</v>
      </c>
      <c r="E384" s="82" t="s">
        <v>1269</v>
      </c>
      <c r="F384" s="82" t="s">
        <v>1294</v>
      </c>
      <c r="G384" s="85" t="s">
        <v>748</v>
      </c>
      <c r="H384" s="85" t="s">
        <v>1294</v>
      </c>
      <c r="I384" s="82" t="s">
        <v>1341</v>
      </c>
      <c r="J384" s="82" t="s">
        <v>1342</v>
      </c>
      <c r="K384" s="82" t="s">
        <v>385</v>
      </c>
      <c r="L384" s="88" t="s">
        <v>310</v>
      </c>
      <c r="M384" s="54">
        <v>46319</v>
      </c>
      <c r="N384" s="55">
        <v>46342</v>
      </c>
    </row>
    <row r="385" spans="2:14" x14ac:dyDescent="0.25">
      <c r="B385" s="79" t="s">
        <v>381</v>
      </c>
      <c r="C385" s="82" t="s">
        <v>1056</v>
      </c>
      <c r="D385" s="82" t="s">
        <v>400</v>
      </c>
      <c r="E385" s="82" t="s">
        <v>1269</v>
      </c>
      <c r="F385" s="82" t="s">
        <v>1294</v>
      </c>
      <c r="G385" s="85" t="s">
        <v>759</v>
      </c>
      <c r="H385" s="85" t="s">
        <v>1294</v>
      </c>
      <c r="I385" s="82" t="s">
        <v>1343</v>
      </c>
      <c r="J385" s="82" t="s">
        <v>1344</v>
      </c>
      <c r="K385" s="82" t="s">
        <v>385</v>
      </c>
      <c r="L385" s="88" t="s">
        <v>310</v>
      </c>
      <c r="M385" s="54">
        <v>46343</v>
      </c>
      <c r="N385" s="55">
        <v>46366</v>
      </c>
    </row>
    <row r="386" spans="2:14" x14ac:dyDescent="0.25">
      <c r="B386" s="79" t="s">
        <v>381</v>
      </c>
      <c r="C386" s="82" t="s">
        <v>1056</v>
      </c>
      <c r="D386" s="82" t="s">
        <v>400</v>
      </c>
      <c r="E386" s="82" t="s">
        <v>1269</v>
      </c>
      <c r="F386" s="82" t="s">
        <v>1294</v>
      </c>
      <c r="G386" s="85" t="s">
        <v>770</v>
      </c>
      <c r="H386" s="85" t="s">
        <v>1294</v>
      </c>
      <c r="I386" s="82" t="s">
        <v>1345</v>
      </c>
      <c r="J386" s="82" t="s">
        <v>1346</v>
      </c>
      <c r="K386" s="82" t="s">
        <v>385</v>
      </c>
      <c r="L386" s="88" t="s">
        <v>310</v>
      </c>
      <c r="M386" s="54">
        <v>46368</v>
      </c>
      <c r="N386" s="55">
        <v>46391</v>
      </c>
    </row>
    <row r="387" spans="2:14" x14ac:dyDescent="0.25">
      <c r="B387" s="79" t="s">
        <v>381</v>
      </c>
      <c r="C387" s="82" t="s">
        <v>1056</v>
      </c>
      <c r="D387" s="82" t="s">
        <v>400</v>
      </c>
      <c r="E387" s="82" t="s">
        <v>1269</v>
      </c>
      <c r="F387" s="82" t="s">
        <v>1294</v>
      </c>
      <c r="G387" s="85" t="s">
        <v>781</v>
      </c>
      <c r="H387" s="85" t="s">
        <v>1294</v>
      </c>
      <c r="I387" s="82" t="s">
        <v>1347</v>
      </c>
      <c r="J387" s="82" t="s">
        <v>1348</v>
      </c>
      <c r="K387" s="82" t="s">
        <v>385</v>
      </c>
      <c r="L387" s="88" t="s">
        <v>310</v>
      </c>
      <c r="M387" s="54">
        <v>46392</v>
      </c>
      <c r="N387" s="55">
        <v>46415</v>
      </c>
    </row>
    <row r="388" spans="2:14" x14ac:dyDescent="0.25">
      <c r="B388" s="79" t="s">
        <v>381</v>
      </c>
      <c r="C388" s="82" t="s">
        <v>1056</v>
      </c>
      <c r="D388" s="82" t="s">
        <v>400</v>
      </c>
      <c r="E388" s="82" t="s">
        <v>1269</v>
      </c>
      <c r="F388" s="82" t="s">
        <v>1294</v>
      </c>
      <c r="G388" s="85" t="s">
        <v>792</v>
      </c>
      <c r="H388" s="85" t="s">
        <v>1294</v>
      </c>
      <c r="I388" s="82" t="s">
        <v>1349</v>
      </c>
      <c r="J388" s="82" t="s">
        <v>1350</v>
      </c>
      <c r="K388" s="82" t="s">
        <v>385</v>
      </c>
      <c r="L388" s="88" t="s">
        <v>310</v>
      </c>
      <c r="M388" s="54">
        <v>46417</v>
      </c>
      <c r="N388" s="55">
        <v>46441</v>
      </c>
    </row>
    <row r="389" spans="2:14" x14ac:dyDescent="0.25">
      <c r="B389" s="79" t="s">
        <v>381</v>
      </c>
      <c r="C389" s="82" t="s">
        <v>1056</v>
      </c>
      <c r="D389" s="82" t="s">
        <v>400</v>
      </c>
      <c r="E389" s="82" t="s">
        <v>1269</v>
      </c>
      <c r="F389" s="82" t="s">
        <v>1294</v>
      </c>
      <c r="G389" s="85" t="s">
        <v>792</v>
      </c>
      <c r="H389" s="85" t="s">
        <v>1351</v>
      </c>
      <c r="I389" s="82" t="s">
        <v>1352</v>
      </c>
      <c r="J389" s="82" t="s">
        <v>1353</v>
      </c>
      <c r="K389" s="82" t="s">
        <v>385</v>
      </c>
      <c r="L389" s="88" t="s">
        <v>214</v>
      </c>
      <c r="M389" s="54">
        <v>46442</v>
      </c>
      <c r="N389" s="55">
        <v>46460</v>
      </c>
    </row>
    <row r="390" spans="2:14" x14ac:dyDescent="0.25">
      <c r="B390" s="79" t="s">
        <v>381</v>
      </c>
      <c r="C390" s="82" t="s">
        <v>1056</v>
      </c>
      <c r="D390" s="82" t="s">
        <v>400</v>
      </c>
      <c r="E390" s="82" t="s">
        <v>1269</v>
      </c>
      <c r="F390" s="82" t="s">
        <v>1294</v>
      </c>
      <c r="G390" s="85" t="s">
        <v>792</v>
      </c>
      <c r="H390" s="85" t="s">
        <v>1354</v>
      </c>
      <c r="I390" s="82" t="s">
        <v>1355</v>
      </c>
      <c r="J390" s="82" t="s">
        <v>1356</v>
      </c>
      <c r="K390" s="82" t="s">
        <v>385</v>
      </c>
      <c r="L390" s="88" t="s">
        <v>214</v>
      </c>
      <c r="M390" s="54">
        <v>46393</v>
      </c>
      <c r="N390" s="55">
        <v>46408</v>
      </c>
    </row>
    <row r="391" spans="2:14" x14ac:dyDescent="0.25">
      <c r="B391" s="79" t="s">
        <v>381</v>
      </c>
      <c r="C391" s="82" t="s">
        <v>1056</v>
      </c>
      <c r="D391" s="82" t="s">
        <v>400</v>
      </c>
      <c r="E391" s="82" t="s">
        <v>1269</v>
      </c>
      <c r="F391" s="82" t="s">
        <v>1294</v>
      </c>
      <c r="G391" s="85" t="s">
        <v>792</v>
      </c>
      <c r="H391" s="85" t="s">
        <v>1357</v>
      </c>
      <c r="I391" s="82" t="s">
        <v>1358</v>
      </c>
      <c r="J391" s="82" t="s">
        <v>1359</v>
      </c>
      <c r="K391" s="82" t="s">
        <v>385</v>
      </c>
      <c r="L391" s="88" t="s">
        <v>214</v>
      </c>
      <c r="M391" s="54">
        <v>46442</v>
      </c>
      <c r="N391" s="55">
        <v>46460</v>
      </c>
    </row>
    <row r="392" spans="2:14" x14ac:dyDescent="0.25">
      <c r="B392" s="79" t="s">
        <v>381</v>
      </c>
      <c r="C392" s="82" t="s">
        <v>1056</v>
      </c>
      <c r="D392" s="82" t="s">
        <v>400</v>
      </c>
      <c r="E392" s="82" t="s">
        <v>1269</v>
      </c>
      <c r="F392" s="82" t="s">
        <v>1294</v>
      </c>
      <c r="G392" s="85" t="s">
        <v>803</v>
      </c>
      <c r="H392" s="85" t="s">
        <v>1294</v>
      </c>
      <c r="I392" s="82" t="s">
        <v>1360</v>
      </c>
      <c r="J392" s="82" t="s">
        <v>1361</v>
      </c>
      <c r="K392" s="82" t="s">
        <v>385</v>
      </c>
      <c r="L392" s="88" t="s">
        <v>310</v>
      </c>
      <c r="M392" s="54">
        <v>46442</v>
      </c>
      <c r="N392" s="55">
        <v>46468</v>
      </c>
    </row>
    <row r="393" spans="2:14" x14ac:dyDescent="0.25">
      <c r="B393" s="79" t="s">
        <v>381</v>
      </c>
      <c r="C393" s="82" t="s">
        <v>1056</v>
      </c>
      <c r="D393" s="82" t="s">
        <v>400</v>
      </c>
      <c r="E393" s="82" t="s">
        <v>1269</v>
      </c>
      <c r="F393" s="82" t="s">
        <v>1294</v>
      </c>
      <c r="G393" s="85" t="s">
        <v>814</v>
      </c>
      <c r="H393" s="85" t="s">
        <v>1294</v>
      </c>
      <c r="I393" s="82" t="s">
        <v>1362</v>
      </c>
      <c r="J393" s="82" t="s">
        <v>1363</v>
      </c>
      <c r="K393" s="82" t="s">
        <v>385</v>
      </c>
      <c r="L393" s="88" t="s">
        <v>317</v>
      </c>
      <c r="M393" s="54">
        <v>46469</v>
      </c>
      <c r="N393" s="55">
        <v>46501</v>
      </c>
    </row>
    <row r="394" spans="2:14" x14ac:dyDescent="0.25">
      <c r="B394" s="79" t="s">
        <v>381</v>
      </c>
      <c r="C394" s="82" t="s">
        <v>1056</v>
      </c>
      <c r="D394" s="82" t="s">
        <v>400</v>
      </c>
      <c r="E394" s="82" t="s">
        <v>1269</v>
      </c>
      <c r="F394" s="82" t="s">
        <v>1294</v>
      </c>
      <c r="G394" s="85" t="s">
        <v>814</v>
      </c>
      <c r="H394" s="85" t="s">
        <v>1364</v>
      </c>
      <c r="I394" s="82" t="s">
        <v>1365</v>
      </c>
      <c r="J394" s="82" t="s">
        <v>1366</v>
      </c>
      <c r="K394" s="82" t="s">
        <v>385</v>
      </c>
      <c r="L394" s="88" t="s">
        <v>317</v>
      </c>
      <c r="M394" s="54">
        <v>46502</v>
      </c>
      <c r="N394" s="55">
        <v>46538</v>
      </c>
    </row>
    <row r="395" spans="2:14" x14ac:dyDescent="0.25">
      <c r="B395" s="79" t="s">
        <v>381</v>
      </c>
      <c r="C395" s="82" t="s">
        <v>1056</v>
      </c>
      <c r="D395" s="82" t="s">
        <v>400</v>
      </c>
      <c r="E395" s="82" t="s">
        <v>1269</v>
      </c>
      <c r="F395" s="82" t="s">
        <v>1367</v>
      </c>
      <c r="G395" s="85" t="s">
        <v>1367</v>
      </c>
      <c r="H395" s="85" t="s">
        <v>1367</v>
      </c>
      <c r="I395" s="82" t="s">
        <v>1368</v>
      </c>
      <c r="J395" s="82" t="s">
        <v>1369</v>
      </c>
      <c r="K395" s="82" t="s">
        <v>385</v>
      </c>
      <c r="L395" s="88" t="s">
        <v>214</v>
      </c>
      <c r="M395" s="54">
        <v>46784</v>
      </c>
      <c r="N395" s="55">
        <v>46799</v>
      </c>
    </row>
    <row r="396" spans="2:14" x14ac:dyDescent="0.25">
      <c r="B396" s="79" t="s">
        <v>381</v>
      </c>
      <c r="C396" s="82" t="s">
        <v>1056</v>
      </c>
      <c r="D396" s="82" t="s">
        <v>1370</v>
      </c>
      <c r="E396" s="82" t="s">
        <v>1370</v>
      </c>
      <c r="F396" s="82" t="s">
        <v>1370</v>
      </c>
      <c r="G396" s="85" t="s">
        <v>1370</v>
      </c>
      <c r="H396" s="85" t="s">
        <v>1370</v>
      </c>
      <c r="I396" s="82" t="s">
        <v>1371</v>
      </c>
      <c r="J396" s="82" t="s">
        <v>1372</v>
      </c>
      <c r="K396" s="82" t="s">
        <v>385</v>
      </c>
      <c r="L396" s="88" t="s">
        <v>317</v>
      </c>
      <c r="M396" s="54">
        <v>46491</v>
      </c>
      <c r="N396" s="55">
        <v>46527</v>
      </c>
    </row>
    <row r="397" spans="2:14" x14ac:dyDescent="0.25">
      <c r="B397" s="79" t="s">
        <v>381</v>
      </c>
      <c r="C397" s="82" t="s">
        <v>1056</v>
      </c>
      <c r="D397" s="82" t="s">
        <v>405</v>
      </c>
      <c r="E397" s="82" t="s">
        <v>825</v>
      </c>
      <c r="F397" s="82" t="s">
        <v>1057</v>
      </c>
      <c r="G397" s="85" t="s">
        <v>826</v>
      </c>
      <c r="H397" s="85" t="s">
        <v>1058</v>
      </c>
      <c r="I397" s="82" t="s">
        <v>1373</v>
      </c>
      <c r="J397" s="82" t="s">
        <v>1374</v>
      </c>
      <c r="K397" s="82" t="s">
        <v>385</v>
      </c>
      <c r="L397" s="88" t="s">
        <v>226</v>
      </c>
      <c r="M397" s="54">
        <v>46118</v>
      </c>
      <c r="N397" s="55">
        <v>46138</v>
      </c>
    </row>
    <row r="398" spans="2:14" x14ac:dyDescent="0.25">
      <c r="B398" s="79" t="s">
        <v>381</v>
      </c>
      <c r="C398" s="82" t="s">
        <v>1056</v>
      </c>
      <c r="D398" s="82" t="s">
        <v>405</v>
      </c>
      <c r="E398" s="82" t="s">
        <v>825</v>
      </c>
      <c r="F398" s="82" t="s">
        <v>1057</v>
      </c>
      <c r="G398" s="85" t="s">
        <v>826</v>
      </c>
      <c r="H398" s="85" t="s">
        <v>1061</v>
      </c>
      <c r="I398" s="82" t="s">
        <v>1375</v>
      </c>
      <c r="J398" s="82" t="s">
        <v>1376</v>
      </c>
      <c r="K398" s="82" t="s">
        <v>385</v>
      </c>
      <c r="L398" s="88" t="s">
        <v>226</v>
      </c>
      <c r="M398" s="54">
        <v>46118</v>
      </c>
      <c r="N398" s="55">
        <v>46138</v>
      </c>
    </row>
    <row r="399" spans="2:14" x14ac:dyDescent="0.25">
      <c r="B399" s="79" t="s">
        <v>381</v>
      </c>
      <c r="C399" s="82" t="s">
        <v>1056</v>
      </c>
      <c r="D399" s="82" t="s">
        <v>405</v>
      </c>
      <c r="E399" s="82" t="s">
        <v>825</v>
      </c>
      <c r="F399" s="82" t="s">
        <v>1057</v>
      </c>
      <c r="G399" s="85" t="s">
        <v>833</v>
      </c>
      <c r="H399" s="85" t="s">
        <v>1058</v>
      </c>
      <c r="I399" s="82" t="s">
        <v>1377</v>
      </c>
      <c r="J399" s="82" t="s">
        <v>1378</v>
      </c>
      <c r="K399" s="82" t="s">
        <v>385</v>
      </c>
      <c r="L399" s="88" t="s">
        <v>317</v>
      </c>
      <c r="M399" s="54">
        <v>46355</v>
      </c>
      <c r="N399" s="55">
        <v>46386</v>
      </c>
    </row>
    <row r="400" spans="2:14" x14ac:dyDescent="0.25">
      <c r="B400" s="79" t="s">
        <v>381</v>
      </c>
      <c r="C400" s="82" t="s">
        <v>1056</v>
      </c>
      <c r="D400" s="82" t="s">
        <v>405</v>
      </c>
      <c r="E400" s="82" t="s">
        <v>825</v>
      </c>
      <c r="F400" s="82" t="s">
        <v>1057</v>
      </c>
      <c r="G400" s="85" t="s">
        <v>833</v>
      </c>
      <c r="H400" s="85" t="s">
        <v>1061</v>
      </c>
      <c r="I400" s="82" t="s">
        <v>1379</v>
      </c>
      <c r="J400" s="82" t="s">
        <v>1380</v>
      </c>
      <c r="K400" s="82" t="s">
        <v>385</v>
      </c>
      <c r="L400" s="88" t="s">
        <v>317</v>
      </c>
      <c r="M400" s="54">
        <v>46355</v>
      </c>
      <c r="N400" s="55">
        <v>46386</v>
      </c>
    </row>
    <row r="401" spans="2:14" x14ac:dyDescent="0.25">
      <c r="B401" s="79" t="s">
        <v>381</v>
      </c>
      <c r="C401" s="82" t="s">
        <v>1056</v>
      </c>
      <c r="D401" s="82" t="s">
        <v>405</v>
      </c>
      <c r="E401" s="82" t="s">
        <v>825</v>
      </c>
      <c r="F401" s="82" t="s">
        <v>1057</v>
      </c>
      <c r="G401" s="85" t="s">
        <v>842</v>
      </c>
      <c r="H401" s="85" t="s">
        <v>1058</v>
      </c>
      <c r="I401" s="82" t="s">
        <v>1381</v>
      </c>
      <c r="J401" s="82" t="s">
        <v>1382</v>
      </c>
      <c r="K401" s="82" t="s">
        <v>385</v>
      </c>
      <c r="L401" s="88" t="s">
        <v>317</v>
      </c>
      <c r="M401" s="54">
        <v>46387</v>
      </c>
      <c r="N401" s="55">
        <v>46419</v>
      </c>
    </row>
    <row r="402" spans="2:14" x14ac:dyDescent="0.25">
      <c r="B402" s="79" t="s">
        <v>381</v>
      </c>
      <c r="C402" s="82" t="s">
        <v>1056</v>
      </c>
      <c r="D402" s="82" t="s">
        <v>405</v>
      </c>
      <c r="E402" s="82" t="s">
        <v>825</v>
      </c>
      <c r="F402" s="82" t="s">
        <v>1057</v>
      </c>
      <c r="G402" s="85" t="s">
        <v>842</v>
      </c>
      <c r="H402" s="85" t="s">
        <v>1061</v>
      </c>
      <c r="I402" s="82" t="s">
        <v>1383</v>
      </c>
      <c r="J402" s="82" t="s">
        <v>1384</v>
      </c>
      <c r="K402" s="82" t="s">
        <v>385</v>
      </c>
      <c r="L402" s="88" t="s">
        <v>317</v>
      </c>
      <c r="M402" s="54">
        <v>46387</v>
      </c>
      <c r="N402" s="55">
        <v>46419</v>
      </c>
    </row>
    <row r="403" spans="2:14" x14ac:dyDescent="0.25">
      <c r="B403" s="79" t="s">
        <v>381</v>
      </c>
      <c r="C403" s="82" t="s">
        <v>1056</v>
      </c>
      <c r="D403" s="82" t="s">
        <v>405</v>
      </c>
      <c r="E403" s="82" t="s">
        <v>825</v>
      </c>
      <c r="F403" s="82" t="s">
        <v>1108</v>
      </c>
      <c r="G403" s="85" t="s">
        <v>826</v>
      </c>
      <c r="H403" s="85" t="s">
        <v>1109</v>
      </c>
      <c r="I403" s="82" t="s">
        <v>1385</v>
      </c>
      <c r="J403" s="82" t="s">
        <v>1386</v>
      </c>
      <c r="K403" s="82" t="s">
        <v>385</v>
      </c>
      <c r="L403" s="88" t="s">
        <v>310</v>
      </c>
      <c r="M403" s="54">
        <v>46434</v>
      </c>
      <c r="N403" s="55">
        <v>46461</v>
      </c>
    </row>
    <row r="404" spans="2:14" x14ac:dyDescent="0.25">
      <c r="B404" s="79" t="s">
        <v>381</v>
      </c>
      <c r="C404" s="82" t="s">
        <v>1056</v>
      </c>
      <c r="D404" s="82" t="s">
        <v>405</v>
      </c>
      <c r="E404" s="82" t="s">
        <v>825</v>
      </c>
      <c r="F404" s="82" t="s">
        <v>1108</v>
      </c>
      <c r="G404" s="85" t="s">
        <v>826</v>
      </c>
      <c r="H404" s="85" t="s">
        <v>1112</v>
      </c>
      <c r="I404" s="82" t="s">
        <v>1387</v>
      </c>
      <c r="J404" s="82" t="s">
        <v>1388</v>
      </c>
      <c r="K404" s="82" t="s">
        <v>385</v>
      </c>
      <c r="L404" s="88" t="s">
        <v>310</v>
      </c>
      <c r="M404" s="54">
        <v>46443</v>
      </c>
      <c r="N404" s="55">
        <v>46469</v>
      </c>
    </row>
    <row r="405" spans="2:14" x14ac:dyDescent="0.25">
      <c r="B405" s="79" t="s">
        <v>381</v>
      </c>
      <c r="C405" s="82" t="s">
        <v>1056</v>
      </c>
      <c r="D405" s="82" t="s">
        <v>405</v>
      </c>
      <c r="E405" s="82" t="s">
        <v>825</v>
      </c>
      <c r="F405" s="82" t="s">
        <v>1108</v>
      </c>
      <c r="G405" s="85" t="s">
        <v>826</v>
      </c>
      <c r="H405" s="85" t="s">
        <v>1115</v>
      </c>
      <c r="I405" s="82" t="s">
        <v>1389</v>
      </c>
      <c r="J405" s="82" t="s">
        <v>1390</v>
      </c>
      <c r="K405" s="82" t="s">
        <v>385</v>
      </c>
      <c r="L405" s="88" t="s">
        <v>310</v>
      </c>
      <c r="M405" s="54">
        <v>46470</v>
      </c>
      <c r="N405" s="55">
        <v>46494</v>
      </c>
    </row>
    <row r="406" spans="2:14" x14ac:dyDescent="0.25">
      <c r="B406" s="79" t="s">
        <v>381</v>
      </c>
      <c r="C406" s="82" t="s">
        <v>1056</v>
      </c>
      <c r="D406" s="82" t="s">
        <v>405</v>
      </c>
      <c r="E406" s="82" t="s">
        <v>825</v>
      </c>
      <c r="F406" s="82" t="s">
        <v>1108</v>
      </c>
      <c r="G406" s="85" t="s">
        <v>826</v>
      </c>
      <c r="H406" s="85" t="s">
        <v>1118</v>
      </c>
      <c r="I406" s="82" t="s">
        <v>1391</v>
      </c>
      <c r="J406" s="82" t="s">
        <v>1392</v>
      </c>
      <c r="K406" s="82" t="s">
        <v>385</v>
      </c>
      <c r="L406" s="88" t="s">
        <v>310</v>
      </c>
      <c r="M406" s="54">
        <v>46470</v>
      </c>
      <c r="N406" s="55">
        <v>46494</v>
      </c>
    </row>
    <row r="407" spans="2:14" x14ac:dyDescent="0.25">
      <c r="B407" s="79" t="s">
        <v>381</v>
      </c>
      <c r="C407" s="82" t="s">
        <v>1056</v>
      </c>
      <c r="D407" s="82" t="s">
        <v>405</v>
      </c>
      <c r="E407" s="82" t="s">
        <v>825</v>
      </c>
      <c r="F407" s="82" t="s">
        <v>1108</v>
      </c>
      <c r="G407" s="85" t="s">
        <v>826</v>
      </c>
      <c r="H407" s="85" t="s">
        <v>1121</v>
      </c>
      <c r="I407" s="82" t="s">
        <v>1393</v>
      </c>
      <c r="J407" s="82" t="s">
        <v>1394</v>
      </c>
      <c r="K407" s="82" t="s">
        <v>385</v>
      </c>
      <c r="L407" s="88" t="s">
        <v>310</v>
      </c>
      <c r="M407" s="54">
        <v>46470</v>
      </c>
      <c r="N407" s="55">
        <v>46494</v>
      </c>
    </row>
    <row r="408" spans="2:14" x14ac:dyDescent="0.25">
      <c r="B408" s="79" t="s">
        <v>381</v>
      </c>
      <c r="C408" s="82" t="s">
        <v>1056</v>
      </c>
      <c r="D408" s="82" t="s">
        <v>405</v>
      </c>
      <c r="E408" s="82" t="s">
        <v>825</v>
      </c>
      <c r="F408" s="82" t="s">
        <v>1108</v>
      </c>
      <c r="G408" s="85" t="s">
        <v>833</v>
      </c>
      <c r="H408" s="85" t="s">
        <v>1109</v>
      </c>
      <c r="I408" s="82" t="s">
        <v>1395</v>
      </c>
      <c r="J408" s="82" t="s">
        <v>1396</v>
      </c>
      <c r="K408" s="82" t="s">
        <v>385</v>
      </c>
      <c r="L408" s="88" t="s">
        <v>310</v>
      </c>
      <c r="M408" s="54">
        <v>46488</v>
      </c>
      <c r="N408" s="55">
        <v>46511</v>
      </c>
    </row>
    <row r="409" spans="2:14" x14ac:dyDescent="0.25">
      <c r="B409" s="79" t="s">
        <v>381</v>
      </c>
      <c r="C409" s="82" t="s">
        <v>1056</v>
      </c>
      <c r="D409" s="82" t="s">
        <v>405</v>
      </c>
      <c r="E409" s="82" t="s">
        <v>825</v>
      </c>
      <c r="F409" s="82" t="s">
        <v>1108</v>
      </c>
      <c r="G409" s="85" t="s">
        <v>833</v>
      </c>
      <c r="H409" s="85" t="s">
        <v>1112</v>
      </c>
      <c r="I409" s="82" t="s">
        <v>1397</v>
      </c>
      <c r="J409" s="82" t="s">
        <v>1398</v>
      </c>
      <c r="K409" s="82" t="s">
        <v>385</v>
      </c>
      <c r="L409" s="88" t="s">
        <v>310</v>
      </c>
      <c r="M409" s="54">
        <v>46512</v>
      </c>
      <c r="N409" s="55">
        <v>46540</v>
      </c>
    </row>
    <row r="410" spans="2:14" x14ac:dyDescent="0.25">
      <c r="B410" s="79" t="s">
        <v>381</v>
      </c>
      <c r="C410" s="82" t="s">
        <v>1056</v>
      </c>
      <c r="D410" s="82" t="s">
        <v>405</v>
      </c>
      <c r="E410" s="82" t="s">
        <v>825</v>
      </c>
      <c r="F410" s="82" t="s">
        <v>1108</v>
      </c>
      <c r="G410" s="85" t="s">
        <v>833</v>
      </c>
      <c r="H410" s="85" t="s">
        <v>1115</v>
      </c>
      <c r="I410" s="82" t="s">
        <v>1399</v>
      </c>
      <c r="J410" s="82" t="s">
        <v>1400</v>
      </c>
      <c r="K410" s="82" t="s">
        <v>385</v>
      </c>
      <c r="L410" s="88" t="s">
        <v>310</v>
      </c>
      <c r="M410" s="54">
        <v>46512</v>
      </c>
      <c r="N410" s="55">
        <v>46540</v>
      </c>
    </row>
    <row r="411" spans="2:14" x14ac:dyDescent="0.25">
      <c r="B411" s="79" t="s">
        <v>381</v>
      </c>
      <c r="C411" s="82" t="s">
        <v>1056</v>
      </c>
      <c r="D411" s="82" t="s">
        <v>405</v>
      </c>
      <c r="E411" s="82" t="s">
        <v>825</v>
      </c>
      <c r="F411" s="82" t="s">
        <v>1108</v>
      </c>
      <c r="G411" s="85" t="s">
        <v>833</v>
      </c>
      <c r="H411" s="85" t="s">
        <v>1118</v>
      </c>
      <c r="I411" s="82" t="s">
        <v>1401</v>
      </c>
      <c r="J411" s="82" t="s">
        <v>1402</v>
      </c>
      <c r="K411" s="82" t="s">
        <v>385</v>
      </c>
      <c r="L411" s="88" t="s">
        <v>310</v>
      </c>
      <c r="M411" s="54">
        <v>46541</v>
      </c>
      <c r="N411" s="55">
        <v>46565</v>
      </c>
    </row>
    <row r="412" spans="2:14" x14ac:dyDescent="0.25">
      <c r="B412" s="79" t="s">
        <v>381</v>
      </c>
      <c r="C412" s="82" t="s">
        <v>1056</v>
      </c>
      <c r="D412" s="82" t="s">
        <v>405</v>
      </c>
      <c r="E412" s="82" t="s">
        <v>825</v>
      </c>
      <c r="F412" s="82" t="s">
        <v>1108</v>
      </c>
      <c r="G412" s="85" t="s">
        <v>833</v>
      </c>
      <c r="H412" s="85" t="s">
        <v>1121</v>
      </c>
      <c r="I412" s="82" t="s">
        <v>1403</v>
      </c>
      <c r="J412" s="82" t="s">
        <v>1404</v>
      </c>
      <c r="K412" s="82" t="s">
        <v>385</v>
      </c>
      <c r="L412" s="88" t="s">
        <v>310</v>
      </c>
      <c r="M412" s="54">
        <v>46541</v>
      </c>
      <c r="N412" s="55">
        <v>46565</v>
      </c>
    </row>
    <row r="413" spans="2:14" x14ac:dyDescent="0.25">
      <c r="B413" s="79" t="s">
        <v>381</v>
      </c>
      <c r="C413" s="82" t="s">
        <v>1056</v>
      </c>
      <c r="D413" s="82" t="s">
        <v>405</v>
      </c>
      <c r="E413" s="82" t="s">
        <v>825</v>
      </c>
      <c r="F413" s="82" t="s">
        <v>1108</v>
      </c>
      <c r="G413" s="85" t="s">
        <v>842</v>
      </c>
      <c r="H413" s="85" t="s">
        <v>1109</v>
      </c>
      <c r="I413" s="82" t="s">
        <v>1405</v>
      </c>
      <c r="J413" s="82" t="s">
        <v>1406</v>
      </c>
      <c r="K413" s="82" t="s">
        <v>385</v>
      </c>
      <c r="L413" s="88" t="s">
        <v>310</v>
      </c>
      <c r="M413" s="54">
        <v>46590</v>
      </c>
      <c r="N413" s="55">
        <v>46614</v>
      </c>
    </row>
    <row r="414" spans="2:14" x14ac:dyDescent="0.25">
      <c r="B414" s="79" t="s">
        <v>381</v>
      </c>
      <c r="C414" s="82" t="s">
        <v>1056</v>
      </c>
      <c r="D414" s="82" t="s">
        <v>405</v>
      </c>
      <c r="E414" s="82" t="s">
        <v>825</v>
      </c>
      <c r="F414" s="82" t="s">
        <v>1108</v>
      </c>
      <c r="G414" s="85" t="s">
        <v>842</v>
      </c>
      <c r="H414" s="85" t="s">
        <v>1112</v>
      </c>
      <c r="I414" s="82" t="s">
        <v>1407</v>
      </c>
      <c r="J414" s="82" t="s">
        <v>1408</v>
      </c>
      <c r="K414" s="82" t="s">
        <v>385</v>
      </c>
      <c r="L414" s="88" t="s">
        <v>310</v>
      </c>
      <c r="M414" s="54">
        <v>46590</v>
      </c>
      <c r="N414" s="55">
        <v>46614</v>
      </c>
    </row>
    <row r="415" spans="2:14" x14ac:dyDescent="0.25">
      <c r="B415" s="79" t="s">
        <v>381</v>
      </c>
      <c r="C415" s="82" t="s">
        <v>1056</v>
      </c>
      <c r="D415" s="82" t="s">
        <v>405</v>
      </c>
      <c r="E415" s="82" t="s">
        <v>825</v>
      </c>
      <c r="F415" s="82" t="s">
        <v>1108</v>
      </c>
      <c r="G415" s="85" t="s">
        <v>842</v>
      </c>
      <c r="H415" s="85" t="s">
        <v>1115</v>
      </c>
      <c r="I415" s="82" t="s">
        <v>1409</v>
      </c>
      <c r="J415" s="82" t="s">
        <v>1410</v>
      </c>
      <c r="K415" s="82" t="s">
        <v>385</v>
      </c>
      <c r="L415" s="88" t="s">
        <v>310</v>
      </c>
      <c r="M415" s="54">
        <v>46590</v>
      </c>
      <c r="N415" s="55">
        <v>46614</v>
      </c>
    </row>
    <row r="416" spans="2:14" x14ac:dyDescent="0.25">
      <c r="B416" s="79" t="s">
        <v>381</v>
      </c>
      <c r="C416" s="82" t="s">
        <v>1056</v>
      </c>
      <c r="D416" s="82" t="s">
        <v>405</v>
      </c>
      <c r="E416" s="82" t="s">
        <v>825</v>
      </c>
      <c r="F416" s="82" t="s">
        <v>1108</v>
      </c>
      <c r="G416" s="85" t="s">
        <v>842</v>
      </c>
      <c r="H416" s="85" t="s">
        <v>1118</v>
      </c>
      <c r="I416" s="82" t="s">
        <v>1411</v>
      </c>
      <c r="J416" s="82" t="s">
        <v>1412</v>
      </c>
      <c r="K416" s="82" t="s">
        <v>385</v>
      </c>
      <c r="L416" s="88" t="s">
        <v>310</v>
      </c>
      <c r="M416" s="54">
        <v>46590</v>
      </c>
      <c r="N416" s="55">
        <v>46614</v>
      </c>
    </row>
    <row r="417" spans="2:14" x14ac:dyDescent="0.25">
      <c r="B417" s="79" t="s">
        <v>381</v>
      </c>
      <c r="C417" s="82" t="s">
        <v>1056</v>
      </c>
      <c r="D417" s="82" t="s">
        <v>405</v>
      </c>
      <c r="E417" s="82" t="s">
        <v>825</v>
      </c>
      <c r="F417" s="82" t="s">
        <v>1108</v>
      </c>
      <c r="G417" s="85" t="s">
        <v>842</v>
      </c>
      <c r="H417" s="85" t="s">
        <v>1121</v>
      </c>
      <c r="I417" s="82" t="s">
        <v>1413</v>
      </c>
      <c r="J417" s="82" t="s">
        <v>1414</v>
      </c>
      <c r="K417" s="82" t="s">
        <v>385</v>
      </c>
      <c r="L417" s="88" t="s">
        <v>310</v>
      </c>
      <c r="M417" s="54">
        <v>46590</v>
      </c>
      <c r="N417" s="55">
        <v>46614</v>
      </c>
    </row>
    <row r="418" spans="2:14" x14ac:dyDescent="0.25">
      <c r="B418" s="79" t="s">
        <v>381</v>
      </c>
      <c r="C418" s="82" t="s">
        <v>1056</v>
      </c>
      <c r="D418" s="82" t="s">
        <v>405</v>
      </c>
      <c r="E418" s="82" t="s">
        <v>825</v>
      </c>
      <c r="F418" s="82" t="s">
        <v>1234</v>
      </c>
      <c r="G418" s="85" t="s">
        <v>1235</v>
      </c>
      <c r="H418" s="85" t="s">
        <v>1235</v>
      </c>
      <c r="I418" s="82" t="s">
        <v>1415</v>
      </c>
      <c r="J418" s="82" t="s">
        <v>1416</v>
      </c>
      <c r="K418" s="82" t="s">
        <v>385</v>
      </c>
      <c r="L418" s="88" t="s">
        <v>310</v>
      </c>
      <c r="M418" s="54">
        <v>46629</v>
      </c>
      <c r="N418" s="55">
        <v>46652</v>
      </c>
    </row>
    <row r="419" spans="2:14" x14ac:dyDescent="0.25">
      <c r="B419" s="79" t="s">
        <v>381</v>
      </c>
      <c r="C419" s="82" t="s">
        <v>1056</v>
      </c>
      <c r="D419" s="82" t="s">
        <v>405</v>
      </c>
      <c r="E419" s="82" t="s">
        <v>825</v>
      </c>
      <c r="F419" s="82" t="s">
        <v>1234</v>
      </c>
      <c r="G419" s="85" t="s">
        <v>1238</v>
      </c>
      <c r="H419" s="85" t="s">
        <v>1238</v>
      </c>
      <c r="I419" s="82" t="s">
        <v>1417</v>
      </c>
      <c r="J419" s="82" t="s">
        <v>1418</v>
      </c>
      <c r="K419" s="82" t="s">
        <v>385</v>
      </c>
      <c r="L419" s="88" t="s">
        <v>310</v>
      </c>
      <c r="M419" s="54">
        <v>46667</v>
      </c>
      <c r="N419" s="55">
        <v>46691</v>
      </c>
    </row>
    <row r="420" spans="2:14" x14ac:dyDescent="0.25">
      <c r="B420" s="79" t="s">
        <v>381</v>
      </c>
      <c r="C420" s="82" t="s">
        <v>1056</v>
      </c>
      <c r="D420" s="82" t="s">
        <v>405</v>
      </c>
      <c r="E420" s="82" t="s">
        <v>825</v>
      </c>
      <c r="F420" s="82" t="s">
        <v>1234</v>
      </c>
      <c r="G420" s="85" t="s">
        <v>1241</v>
      </c>
      <c r="H420" s="85" t="s">
        <v>1241</v>
      </c>
      <c r="I420" s="82" t="s">
        <v>1419</v>
      </c>
      <c r="J420" s="82" t="s">
        <v>1420</v>
      </c>
      <c r="K420" s="82" t="s">
        <v>385</v>
      </c>
      <c r="L420" s="88" t="s">
        <v>310</v>
      </c>
      <c r="M420" s="54">
        <v>46662</v>
      </c>
      <c r="N420" s="55">
        <v>46685</v>
      </c>
    </row>
    <row r="421" spans="2:14" x14ac:dyDescent="0.25">
      <c r="B421" s="79" t="s">
        <v>381</v>
      </c>
      <c r="C421" s="82" t="s">
        <v>1056</v>
      </c>
      <c r="D421" s="82" t="s">
        <v>405</v>
      </c>
      <c r="E421" s="82" t="s">
        <v>825</v>
      </c>
      <c r="F421" s="82" t="s">
        <v>1234</v>
      </c>
      <c r="G421" s="85" t="s">
        <v>1244</v>
      </c>
      <c r="H421" s="85" t="s">
        <v>1244</v>
      </c>
      <c r="I421" s="82" t="s">
        <v>1421</v>
      </c>
      <c r="J421" s="82" t="s">
        <v>1422</v>
      </c>
      <c r="K421" s="82" t="s">
        <v>385</v>
      </c>
      <c r="L421" s="88" t="s">
        <v>310</v>
      </c>
      <c r="M421" s="54">
        <v>46662</v>
      </c>
      <c r="N421" s="55">
        <v>46685</v>
      </c>
    </row>
    <row r="422" spans="2:14" x14ac:dyDescent="0.25">
      <c r="B422" s="79" t="s">
        <v>381</v>
      </c>
      <c r="C422" s="82" t="s">
        <v>1056</v>
      </c>
      <c r="D422" s="82" t="s">
        <v>405</v>
      </c>
      <c r="E422" s="82" t="s">
        <v>825</v>
      </c>
      <c r="F422" s="82" t="s">
        <v>1247</v>
      </c>
      <c r="G422" s="85" t="s">
        <v>1248</v>
      </c>
      <c r="H422" s="85" t="s">
        <v>1248</v>
      </c>
      <c r="I422" s="82" t="s">
        <v>1423</v>
      </c>
      <c r="J422" s="82" t="s">
        <v>1424</v>
      </c>
      <c r="K422" s="82" t="s">
        <v>385</v>
      </c>
      <c r="L422" s="88" t="s">
        <v>310</v>
      </c>
      <c r="M422" s="54">
        <v>46706</v>
      </c>
      <c r="N422" s="55">
        <v>46729</v>
      </c>
    </row>
    <row r="423" spans="2:14" x14ac:dyDescent="0.25">
      <c r="B423" s="79" t="s">
        <v>381</v>
      </c>
      <c r="C423" s="82" t="s">
        <v>1056</v>
      </c>
      <c r="D423" s="82" t="s">
        <v>405</v>
      </c>
      <c r="E423" s="82" t="s">
        <v>825</v>
      </c>
      <c r="F423" s="82" t="s">
        <v>1247</v>
      </c>
      <c r="G423" s="85" t="s">
        <v>1251</v>
      </c>
      <c r="H423" s="85" t="s">
        <v>1251</v>
      </c>
      <c r="I423" s="82" t="s">
        <v>1425</v>
      </c>
      <c r="J423" s="82" t="s">
        <v>1426</v>
      </c>
      <c r="K423" s="82" t="s">
        <v>385</v>
      </c>
      <c r="L423" s="88" t="s">
        <v>310</v>
      </c>
      <c r="M423" s="54">
        <v>46700</v>
      </c>
      <c r="N423" s="55">
        <v>46723</v>
      </c>
    </row>
    <row r="424" spans="2:14" x14ac:dyDescent="0.25">
      <c r="B424" s="79" t="s">
        <v>381</v>
      </c>
      <c r="C424" s="82" t="s">
        <v>1056</v>
      </c>
      <c r="D424" s="82" t="s">
        <v>405</v>
      </c>
      <c r="E424" s="82" t="s">
        <v>825</v>
      </c>
      <c r="F424" s="82" t="s">
        <v>1247</v>
      </c>
      <c r="G424" s="85" t="s">
        <v>1254</v>
      </c>
      <c r="H424" s="85" t="s">
        <v>1254</v>
      </c>
      <c r="I424" s="82" t="s">
        <v>1427</v>
      </c>
      <c r="J424" s="82" t="s">
        <v>1428</v>
      </c>
      <c r="K424" s="82" t="s">
        <v>385</v>
      </c>
      <c r="L424" s="88" t="s">
        <v>310</v>
      </c>
      <c r="M424" s="54">
        <v>46700</v>
      </c>
      <c r="N424" s="55">
        <v>46723</v>
      </c>
    </row>
    <row r="425" spans="2:14" x14ac:dyDescent="0.25">
      <c r="B425" s="79" t="s">
        <v>381</v>
      </c>
      <c r="C425" s="82" t="s">
        <v>1056</v>
      </c>
      <c r="D425" s="82" t="s">
        <v>405</v>
      </c>
      <c r="E425" s="82" t="s">
        <v>825</v>
      </c>
      <c r="F425" s="82" t="s">
        <v>1247</v>
      </c>
      <c r="G425" s="85" t="s">
        <v>1257</v>
      </c>
      <c r="H425" s="85" t="s">
        <v>1257</v>
      </c>
      <c r="I425" s="82" t="s">
        <v>1429</v>
      </c>
      <c r="J425" s="82" t="s">
        <v>1430</v>
      </c>
      <c r="K425" s="82" t="s">
        <v>385</v>
      </c>
      <c r="L425" s="88" t="s">
        <v>214</v>
      </c>
      <c r="M425" s="54">
        <v>46769</v>
      </c>
      <c r="N425" s="55">
        <v>46784</v>
      </c>
    </row>
    <row r="426" spans="2:14" x14ac:dyDescent="0.25">
      <c r="B426" s="79" t="s">
        <v>381</v>
      </c>
      <c r="C426" s="82" t="s">
        <v>1056</v>
      </c>
      <c r="D426" s="82" t="s">
        <v>405</v>
      </c>
      <c r="E426" s="82" t="s">
        <v>825</v>
      </c>
      <c r="F426" s="82" t="s">
        <v>1247</v>
      </c>
      <c r="G426" s="85" t="s">
        <v>1260</v>
      </c>
      <c r="H426" s="85" t="s">
        <v>1260</v>
      </c>
      <c r="I426" s="82" t="s">
        <v>1431</v>
      </c>
      <c r="J426" s="82" t="s">
        <v>1432</v>
      </c>
      <c r="K426" s="82" t="s">
        <v>385</v>
      </c>
      <c r="L426" s="88" t="s">
        <v>310</v>
      </c>
      <c r="M426" s="54">
        <v>46700</v>
      </c>
      <c r="N426" s="55">
        <v>46723</v>
      </c>
    </row>
    <row r="427" spans="2:14" x14ac:dyDescent="0.25">
      <c r="B427" s="79" t="s">
        <v>381</v>
      </c>
      <c r="C427" s="82" t="s">
        <v>1056</v>
      </c>
      <c r="D427" s="82" t="s">
        <v>405</v>
      </c>
      <c r="E427" s="82" t="s">
        <v>825</v>
      </c>
      <c r="F427" s="82" t="s">
        <v>1247</v>
      </c>
      <c r="G427" s="85" t="s">
        <v>1266</v>
      </c>
      <c r="H427" s="85" t="s">
        <v>1266</v>
      </c>
      <c r="I427" s="82" t="s">
        <v>1433</v>
      </c>
      <c r="J427" s="82" t="s">
        <v>1434</v>
      </c>
      <c r="K427" s="82" t="s">
        <v>385</v>
      </c>
      <c r="L427" s="88" t="s">
        <v>310</v>
      </c>
      <c r="M427" s="54">
        <v>46700</v>
      </c>
      <c r="N427" s="55">
        <v>46723</v>
      </c>
    </row>
    <row r="428" spans="2:14" x14ac:dyDescent="0.25">
      <c r="B428" s="79" t="s">
        <v>381</v>
      </c>
      <c r="C428" s="82" t="s">
        <v>1056</v>
      </c>
      <c r="D428" s="82" t="s">
        <v>405</v>
      </c>
      <c r="E428" s="82" t="s">
        <v>825</v>
      </c>
      <c r="F428" s="82" t="s">
        <v>1269</v>
      </c>
      <c r="G428" s="85" t="s">
        <v>1294</v>
      </c>
      <c r="H428" s="85" t="s">
        <v>1294</v>
      </c>
      <c r="I428" s="82" t="s">
        <v>1435</v>
      </c>
      <c r="J428" s="82" t="s">
        <v>1436</v>
      </c>
      <c r="K428" s="82" t="s">
        <v>385</v>
      </c>
      <c r="L428" s="88" t="s">
        <v>310</v>
      </c>
      <c r="M428" s="54">
        <v>46700</v>
      </c>
      <c r="N428" s="55">
        <v>46723</v>
      </c>
    </row>
    <row r="429" spans="2:14" x14ac:dyDescent="0.25">
      <c r="B429" s="79" t="s">
        <v>381</v>
      </c>
      <c r="C429" s="82" t="s">
        <v>1056</v>
      </c>
      <c r="D429" s="82" t="s">
        <v>405</v>
      </c>
      <c r="E429" s="82" t="s">
        <v>825</v>
      </c>
      <c r="F429" s="82" t="s">
        <v>1269</v>
      </c>
      <c r="G429" s="85" t="s">
        <v>1294</v>
      </c>
      <c r="H429" s="85" t="s">
        <v>1437</v>
      </c>
      <c r="I429" s="82" t="s">
        <v>1438</v>
      </c>
      <c r="J429" s="82" t="s">
        <v>1439</v>
      </c>
      <c r="K429" s="82" t="s">
        <v>385</v>
      </c>
      <c r="L429" s="88" t="s">
        <v>310</v>
      </c>
      <c r="M429" s="54">
        <v>46700</v>
      </c>
      <c r="N429" s="55">
        <v>46723</v>
      </c>
    </row>
    <row r="430" spans="2:14" x14ac:dyDescent="0.25">
      <c r="B430" s="79" t="s">
        <v>381</v>
      </c>
      <c r="C430" s="82" t="s">
        <v>1056</v>
      </c>
      <c r="D430" s="82" t="s">
        <v>405</v>
      </c>
      <c r="E430" s="82" t="s">
        <v>825</v>
      </c>
      <c r="F430" s="82" t="s">
        <v>1269</v>
      </c>
      <c r="G430" s="85" t="s">
        <v>1286</v>
      </c>
      <c r="H430" s="85" t="s">
        <v>1286</v>
      </c>
      <c r="I430" s="82" t="s">
        <v>1440</v>
      </c>
      <c r="J430" s="82" t="s">
        <v>1441</v>
      </c>
      <c r="K430" s="82" t="s">
        <v>385</v>
      </c>
      <c r="L430" s="88" t="s">
        <v>214</v>
      </c>
      <c r="M430" s="54">
        <v>46799</v>
      </c>
      <c r="N430" s="55">
        <v>46819</v>
      </c>
    </row>
    <row r="431" spans="2:14" x14ac:dyDescent="0.25">
      <c r="B431" s="79" t="s">
        <v>381</v>
      </c>
      <c r="C431" s="82" t="s">
        <v>1056</v>
      </c>
      <c r="D431" s="82" t="s">
        <v>405</v>
      </c>
      <c r="E431" s="82" t="s">
        <v>849</v>
      </c>
      <c r="F431" s="82" t="s">
        <v>1057</v>
      </c>
      <c r="G431" s="85" t="s">
        <v>1442</v>
      </c>
      <c r="H431" s="85" t="s">
        <v>1058</v>
      </c>
      <c r="I431" s="82" t="s">
        <v>1443</v>
      </c>
      <c r="J431" s="82" t="s">
        <v>1444</v>
      </c>
      <c r="K431" s="82" t="s">
        <v>385</v>
      </c>
      <c r="L431" s="88" t="s">
        <v>310</v>
      </c>
      <c r="M431" s="54">
        <v>46118</v>
      </c>
      <c r="N431" s="55">
        <v>46141</v>
      </c>
    </row>
    <row r="432" spans="2:14" x14ac:dyDescent="0.25">
      <c r="B432" s="79" t="s">
        <v>381</v>
      </c>
      <c r="C432" s="82" t="s">
        <v>1056</v>
      </c>
      <c r="D432" s="82" t="s">
        <v>405</v>
      </c>
      <c r="E432" s="82" t="s">
        <v>849</v>
      </c>
      <c r="F432" s="82" t="s">
        <v>1057</v>
      </c>
      <c r="G432" s="85" t="s">
        <v>1442</v>
      </c>
      <c r="H432" s="85" t="s">
        <v>1061</v>
      </c>
      <c r="I432" s="82" t="s">
        <v>1445</v>
      </c>
      <c r="J432" s="82" t="s">
        <v>1446</v>
      </c>
      <c r="K432" s="82" t="s">
        <v>385</v>
      </c>
      <c r="L432" s="88" t="s">
        <v>310</v>
      </c>
      <c r="M432" s="54">
        <v>46118</v>
      </c>
      <c r="N432" s="55">
        <v>46141</v>
      </c>
    </row>
    <row r="433" spans="2:14" x14ac:dyDescent="0.25">
      <c r="B433" s="79" t="s">
        <v>381</v>
      </c>
      <c r="C433" s="82" t="s">
        <v>1056</v>
      </c>
      <c r="D433" s="82" t="s">
        <v>405</v>
      </c>
      <c r="E433" s="82" t="s">
        <v>849</v>
      </c>
      <c r="F433" s="82" t="s">
        <v>1057</v>
      </c>
      <c r="G433" s="85" t="s">
        <v>859</v>
      </c>
      <c r="H433" s="85" t="s">
        <v>1058</v>
      </c>
      <c r="I433" s="82" t="s">
        <v>1447</v>
      </c>
      <c r="J433" s="82" t="s">
        <v>1448</v>
      </c>
      <c r="K433" s="82" t="s">
        <v>385</v>
      </c>
      <c r="L433" s="88" t="s">
        <v>317</v>
      </c>
      <c r="M433" s="54">
        <v>46387</v>
      </c>
      <c r="N433" s="55">
        <v>46419</v>
      </c>
    </row>
    <row r="434" spans="2:14" x14ac:dyDescent="0.25">
      <c r="B434" s="79" t="s">
        <v>381</v>
      </c>
      <c r="C434" s="82" t="s">
        <v>1056</v>
      </c>
      <c r="D434" s="82" t="s">
        <v>405</v>
      </c>
      <c r="E434" s="82" t="s">
        <v>849</v>
      </c>
      <c r="F434" s="82" t="s">
        <v>1057</v>
      </c>
      <c r="G434" s="85" t="s">
        <v>859</v>
      </c>
      <c r="H434" s="85" t="s">
        <v>1061</v>
      </c>
      <c r="I434" s="82" t="s">
        <v>1449</v>
      </c>
      <c r="J434" s="82" t="s">
        <v>1450</v>
      </c>
      <c r="K434" s="82" t="s">
        <v>385</v>
      </c>
      <c r="L434" s="88" t="s">
        <v>317</v>
      </c>
      <c r="M434" s="54">
        <v>46387</v>
      </c>
      <c r="N434" s="55">
        <v>46419</v>
      </c>
    </row>
    <row r="435" spans="2:14" x14ac:dyDescent="0.25">
      <c r="B435" s="79" t="s">
        <v>381</v>
      </c>
      <c r="C435" s="82" t="s">
        <v>1056</v>
      </c>
      <c r="D435" s="82" t="s">
        <v>405</v>
      </c>
      <c r="E435" s="82" t="s">
        <v>849</v>
      </c>
      <c r="F435" s="82" t="s">
        <v>1057</v>
      </c>
      <c r="G435" s="85" t="s">
        <v>866</v>
      </c>
      <c r="H435" s="85" t="s">
        <v>1058</v>
      </c>
      <c r="I435" s="82" t="s">
        <v>1451</v>
      </c>
      <c r="J435" s="82" t="s">
        <v>1452</v>
      </c>
      <c r="K435" s="82" t="s">
        <v>385</v>
      </c>
      <c r="L435" s="88" t="s">
        <v>317</v>
      </c>
      <c r="M435" s="54">
        <v>46420</v>
      </c>
      <c r="N435" s="55">
        <v>46453</v>
      </c>
    </row>
    <row r="436" spans="2:14" x14ac:dyDescent="0.25">
      <c r="B436" s="79" t="s">
        <v>381</v>
      </c>
      <c r="C436" s="82" t="s">
        <v>1056</v>
      </c>
      <c r="D436" s="82" t="s">
        <v>405</v>
      </c>
      <c r="E436" s="82" t="s">
        <v>849</v>
      </c>
      <c r="F436" s="82" t="s">
        <v>1057</v>
      </c>
      <c r="G436" s="85" t="s">
        <v>866</v>
      </c>
      <c r="H436" s="85" t="s">
        <v>1061</v>
      </c>
      <c r="I436" s="82" t="s">
        <v>1453</v>
      </c>
      <c r="J436" s="82" t="s">
        <v>1454</v>
      </c>
      <c r="K436" s="82" t="s">
        <v>385</v>
      </c>
      <c r="L436" s="88" t="s">
        <v>317</v>
      </c>
      <c r="M436" s="54">
        <v>46420</v>
      </c>
      <c r="N436" s="55">
        <v>46453</v>
      </c>
    </row>
    <row r="437" spans="2:14" x14ac:dyDescent="0.25">
      <c r="B437" s="79" t="s">
        <v>381</v>
      </c>
      <c r="C437" s="82" t="s">
        <v>1056</v>
      </c>
      <c r="D437" s="82" t="s">
        <v>405</v>
      </c>
      <c r="E437" s="82" t="s">
        <v>849</v>
      </c>
      <c r="F437" s="82" t="s">
        <v>1108</v>
      </c>
      <c r="G437" s="85" t="s">
        <v>1442</v>
      </c>
      <c r="H437" s="85" t="s">
        <v>1109</v>
      </c>
      <c r="I437" s="82" t="s">
        <v>1455</v>
      </c>
      <c r="J437" s="82" t="s">
        <v>1456</v>
      </c>
      <c r="K437" s="82" t="s">
        <v>385</v>
      </c>
      <c r="L437" s="88" t="s">
        <v>310</v>
      </c>
      <c r="M437" s="54">
        <v>46462</v>
      </c>
      <c r="N437" s="55">
        <v>46485</v>
      </c>
    </row>
    <row r="438" spans="2:14" x14ac:dyDescent="0.25">
      <c r="B438" s="79" t="s">
        <v>381</v>
      </c>
      <c r="C438" s="82" t="s">
        <v>1056</v>
      </c>
      <c r="D438" s="82" t="s">
        <v>405</v>
      </c>
      <c r="E438" s="82" t="s">
        <v>849</v>
      </c>
      <c r="F438" s="82" t="s">
        <v>1108</v>
      </c>
      <c r="G438" s="85" t="s">
        <v>1442</v>
      </c>
      <c r="H438" s="85" t="s">
        <v>1112</v>
      </c>
      <c r="I438" s="82" t="s">
        <v>1457</v>
      </c>
      <c r="J438" s="82" t="s">
        <v>1458</v>
      </c>
      <c r="K438" s="82" t="s">
        <v>385</v>
      </c>
      <c r="L438" s="88" t="s">
        <v>310</v>
      </c>
      <c r="M438" s="54">
        <v>46470</v>
      </c>
      <c r="N438" s="55">
        <v>46494</v>
      </c>
    </row>
    <row r="439" spans="2:14" x14ac:dyDescent="0.25">
      <c r="B439" s="79" t="s">
        <v>381</v>
      </c>
      <c r="C439" s="82" t="s">
        <v>1056</v>
      </c>
      <c r="D439" s="82" t="s">
        <v>405</v>
      </c>
      <c r="E439" s="82" t="s">
        <v>849</v>
      </c>
      <c r="F439" s="82" t="s">
        <v>1108</v>
      </c>
      <c r="G439" s="85" t="s">
        <v>1442</v>
      </c>
      <c r="H439" s="85" t="s">
        <v>1115</v>
      </c>
      <c r="I439" s="82" t="s">
        <v>1459</v>
      </c>
      <c r="J439" s="82" t="s">
        <v>1460</v>
      </c>
      <c r="K439" s="82" t="s">
        <v>385</v>
      </c>
      <c r="L439" s="88" t="s">
        <v>310</v>
      </c>
      <c r="M439" s="54">
        <v>46482</v>
      </c>
      <c r="N439" s="55">
        <v>46505</v>
      </c>
    </row>
    <row r="440" spans="2:14" x14ac:dyDescent="0.25">
      <c r="B440" s="79" t="s">
        <v>381</v>
      </c>
      <c r="C440" s="82" t="s">
        <v>1056</v>
      </c>
      <c r="D440" s="82" t="s">
        <v>405</v>
      </c>
      <c r="E440" s="82" t="s">
        <v>849</v>
      </c>
      <c r="F440" s="82" t="s">
        <v>1108</v>
      </c>
      <c r="G440" s="85" t="s">
        <v>1442</v>
      </c>
      <c r="H440" s="85" t="s">
        <v>1118</v>
      </c>
      <c r="I440" s="82" t="s">
        <v>1461</v>
      </c>
      <c r="J440" s="82" t="s">
        <v>1462</v>
      </c>
      <c r="K440" s="82" t="s">
        <v>385</v>
      </c>
      <c r="L440" s="88" t="s">
        <v>310</v>
      </c>
      <c r="M440" s="54">
        <v>46482</v>
      </c>
      <c r="N440" s="55">
        <v>46505</v>
      </c>
    </row>
    <row r="441" spans="2:14" x14ac:dyDescent="0.25">
      <c r="B441" s="79" t="s">
        <v>381</v>
      </c>
      <c r="C441" s="82" t="s">
        <v>1056</v>
      </c>
      <c r="D441" s="82" t="s">
        <v>405</v>
      </c>
      <c r="E441" s="82" t="s">
        <v>849</v>
      </c>
      <c r="F441" s="82" t="s">
        <v>1108</v>
      </c>
      <c r="G441" s="85" t="s">
        <v>1442</v>
      </c>
      <c r="H441" s="85" t="s">
        <v>1121</v>
      </c>
      <c r="I441" s="82" t="s">
        <v>1463</v>
      </c>
      <c r="J441" s="82" t="s">
        <v>1464</v>
      </c>
      <c r="K441" s="82" t="s">
        <v>385</v>
      </c>
      <c r="L441" s="88" t="s">
        <v>310</v>
      </c>
      <c r="M441" s="54">
        <v>46495</v>
      </c>
      <c r="N441" s="55">
        <v>46518</v>
      </c>
    </row>
    <row r="442" spans="2:14" x14ac:dyDescent="0.25">
      <c r="B442" s="79" t="s">
        <v>381</v>
      </c>
      <c r="C442" s="82" t="s">
        <v>1056</v>
      </c>
      <c r="D442" s="82" t="s">
        <v>405</v>
      </c>
      <c r="E442" s="82" t="s">
        <v>849</v>
      </c>
      <c r="F442" s="82" t="s">
        <v>1108</v>
      </c>
      <c r="G442" s="85" t="s">
        <v>859</v>
      </c>
      <c r="H442" s="85" t="s">
        <v>1109</v>
      </c>
      <c r="I442" s="82" t="s">
        <v>1465</v>
      </c>
      <c r="J442" s="82" t="s">
        <v>1466</v>
      </c>
      <c r="K442" s="82" t="s">
        <v>385</v>
      </c>
      <c r="L442" s="88" t="s">
        <v>310</v>
      </c>
      <c r="M442" s="54">
        <v>46610</v>
      </c>
      <c r="N442" s="55">
        <v>46634</v>
      </c>
    </row>
    <row r="443" spans="2:14" x14ac:dyDescent="0.25">
      <c r="B443" s="79" t="s">
        <v>381</v>
      </c>
      <c r="C443" s="82" t="s">
        <v>1056</v>
      </c>
      <c r="D443" s="82" t="s">
        <v>405</v>
      </c>
      <c r="E443" s="82" t="s">
        <v>849</v>
      </c>
      <c r="F443" s="82" t="s">
        <v>1108</v>
      </c>
      <c r="G443" s="85" t="s">
        <v>859</v>
      </c>
      <c r="H443" s="85" t="s">
        <v>1112</v>
      </c>
      <c r="I443" s="82" t="s">
        <v>1467</v>
      </c>
      <c r="J443" s="82" t="s">
        <v>1468</v>
      </c>
      <c r="K443" s="82" t="s">
        <v>385</v>
      </c>
      <c r="L443" s="88" t="s">
        <v>310</v>
      </c>
      <c r="M443" s="54">
        <v>46509</v>
      </c>
      <c r="N443" s="55">
        <v>46537</v>
      </c>
    </row>
    <row r="444" spans="2:14" x14ac:dyDescent="0.25">
      <c r="B444" s="79" t="s">
        <v>381</v>
      </c>
      <c r="C444" s="82" t="s">
        <v>1056</v>
      </c>
      <c r="D444" s="82" t="s">
        <v>405</v>
      </c>
      <c r="E444" s="82" t="s">
        <v>849</v>
      </c>
      <c r="F444" s="82" t="s">
        <v>1108</v>
      </c>
      <c r="G444" s="85" t="s">
        <v>859</v>
      </c>
      <c r="H444" s="85" t="s">
        <v>1115</v>
      </c>
      <c r="I444" s="82" t="s">
        <v>1469</v>
      </c>
      <c r="J444" s="82" t="s">
        <v>1470</v>
      </c>
      <c r="K444" s="82" t="s">
        <v>385</v>
      </c>
      <c r="L444" s="88" t="s">
        <v>310</v>
      </c>
      <c r="M444" s="54">
        <v>46520</v>
      </c>
      <c r="N444" s="55">
        <v>46548</v>
      </c>
    </row>
    <row r="445" spans="2:14" x14ac:dyDescent="0.25">
      <c r="B445" s="79" t="s">
        <v>381</v>
      </c>
      <c r="C445" s="82" t="s">
        <v>1056</v>
      </c>
      <c r="D445" s="82" t="s">
        <v>405</v>
      </c>
      <c r="E445" s="82" t="s">
        <v>849</v>
      </c>
      <c r="F445" s="82" t="s">
        <v>1108</v>
      </c>
      <c r="G445" s="85" t="s">
        <v>859</v>
      </c>
      <c r="H445" s="85" t="s">
        <v>1118</v>
      </c>
      <c r="I445" s="82" t="s">
        <v>1471</v>
      </c>
      <c r="J445" s="82" t="s">
        <v>1472</v>
      </c>
      <c r="K445" s="82" t="s">
        <v>385</v>
      </c>
      <c r="L445" s="88" t="s">
        <v>310</v>
      </c>
      <c r="M445" s="54">
        <v>46506</v>
      </c>
      <c r="N445" s="55">
        <v>46534</v>
      </c>
    </row>
    <row r="446" spans="2:14" x14ac:dyDescent="0.25">
      <c r="B446" s="79" t="s">
        <v>381</v>
      </c>
      <c r="C446" s="82" t="s">
        <v>1056</v>
      </c>
      <c r="D446" s="82" t="s">
        <v>405</v>
      </c>
      <c r="E446" s="82" t="s">
        <v>849</v>
      </c>
      <c r="F446" s="82" t="s">
        <v>1108</v>
      </c>
      <c r="G446" s="85" t="s">
        <v>859</v>
      </c>
      <c r="H446" s="85" t="s">
        <v>1121</v>
      </c>
      <c r="I446" s="82" t="s">
        <v>1473</v>
      </c>
      <c r="J446" s="82" t="s">
        <v>1474</v>
      </c>
      <c r="K446" s="82" t="s">
        <v>385</v>
      </c>
      <c r="L446" s="88" t="s">
        <v>310</v>
      </c>
      <c r="M446" s="54">
        <v>46519</v>
      </c>
      <c r="N446" s="55">
        <v>46547</v>
      </c>
    </row>
    <row r="447" spans="2:14" x14ac:dyDescent="0.25">
      <c r="B447" s="79" t="s">
        <v>381</v>
      </c>
      <c r="C447" s="82" t="s">
        <v>1056</v>
      </c>
      <c r="D447" s="82" t="s">
        <v>405</v>
      </c>
      <c r="E447" s="82" t="s">
        <v>849</v>
      </c>
      <c r="F447" s="82" t="s">
        <v>1108</v>
      </c>
      <c r="G447" s="85" t="s">
        <v>866</v>
      </c>
      <c r="H447" s="85" t="s">
        <v>1109</v>
      </c>
      <c r="I447" s="82" t="s">
        <v>1475</v>
      </c>
      <c r="J447" s="82" t="s">
        <v>1476</v>
      </c>
      <c r="K447" s="82" t="s">
        <v>385</v>
      </c>
      <c r="L447" s="88" t="s">
        <v>310</v>
      </c>
      <c r="M447" s="54">
        <v>46635</v>
      </c>
      <c r="N447" s="55">
        <v>46659</v>
      </c>
    </row>
    <row r="448" spans="2:14" x14ac:dyDescent="0.25">
      <c r="B448" s="79" t="s">
        <v>381</v>
      </c>
      <c r="C448" s="82" t="s">
        <v>1056</v>
      </c>
      <c r="D448" s="82" t="s">
        <v>405</v>
      </c>
      <c r="E448" s="82" t="s">
        <v>849</v>
      </c>
      <c r="F448" s="82" t="s">
        <v>1108</v>
      </c>
      <c r="G448" s="85" t="s">
        <v>866</v>
      </c>
      <c r="H448" s="85" t="s">
        <v>1112</v>
      </c>
      <c r="I448" s="82" t="s">
        <v>1477</v>
      </c>
      <c r="J448" s="82" t="s">
        <v>1478</v>
      </c>
      <c r="K448" s="82" t="s">
        <v>385</v>
      </c>
      <c r="L448" s="88" t="s">
        <v>310</v>
      </c>
      <c r="M448" s="54">
        <v>46635</v>
      </c>
      <c r="N448" s="55">
        <v>46659</v>
      </c>
    </row>
    <row r="449" spans="2:14" x14ac:dyDescent="0.25">
      <c r="B449" s="79" t="s">
        <v>381</v>
      </c>
      <c r="C449" s="82" t="s">
        <v>1056</v>
      </c>
      <c r="D449" s="82" t="s">
        <v>405</v>
      </c>
      <c r="E449" s="82" t="s">
        <v>849</v>
      </c>
      <c r="F449" s="82" t="s">
        <v>1108</v>
      </c>
      <c r="G449" s="85" t="s">
        <v>866</v>
      </c>
      <c r="H449" s="85" t="s">
        <v>1115</v>
      </c>
      <c r="I449" s="82" t="s">
        <v>1479</v>
      </c>
      <c r="J449" s="82" t="s">
        <v>1480</v>
      </c>
      <c r="K449" s="82" t="s">
        <v>385</v>
      </c>
      <c r="L449" s="88" t="s">
        <v>310</v>
      </c>
      <c r="M449" s="54">
        <v>46635</v>
      </c>
      <c r="N449" s="55">
        <v>46659</v>
      </c>
    </row>
    <row r="450" spans="2:14" x14ac:dyDescent="0.25">
      <c r="B450" s="79" t="s">
        <v>381</v>
      </c>
      <c r="C450" s="82" t="s">
        <v>1056</v>
      </c>
      <c r="D450" s="82" t="s">
        <v>405</v>
      </c>
      <c r="E450" s="82" t="s">
        <v>849</v>
      </c>
      <c r="F450" s="82" t="s">
        <v>1108</v>
      </c>
      <c r="G450" s="85" t="s">
        <v>866</v>
      </c>
      <c r="H450" s="85" t="s">
        <v>1118</v>
      </c>
      <c r="I450" s="82" t="s">
        <v>1481</v>
      </c>
      <c r="J450" s="82" t="s">
        <v>1482</v>
      </c>
      <c r="K450" s="82" t="s">
        <v>385</v>
      </c>
      <c r="L450" s="88" t="s">
        <v>310</v>
      </c>
      <c r="M450" s="54">
        <v>46635</v>
      </c>
      <c r="N450" s="55">
        <v>46659</v>
      </c>
    </row>
    <row r="451" spans="2:14" x14ac:dyDescent="0.25">
      <c r="B451" s="79" t="s">
        <v>381</v>
      </c>
      <c r="C451" s="82" t="s">
        <v>1056</v>
      </c>
      <c r="D451" s="82" t="s">
        <v>405</v>
      </c>
      <c r="E451" s="82" t="s">
        <v>849</v>
      </c>
      <c r="F451" s="82" t="s">
        <v>1108</v>
      </c>
      <c r="G451" s="85" t="s">
        <v>866</v>
      </c>
      <c r="H451" s="85" t="s">
        <v>1121</v>
      </c>
      <c r="I451" s="82" t="s">
        <v>1483</v>
      </c>
      <c r="J451" s="82" t="s">
        <v>1484</v>
      </c>
      <c r="K451" s="82" t="s">
        <v>385</v>
      </c>
      <c r="L451" s="88" t="s">
        <v>310</v>
      </c>
      <c r="M451" s="54">
        <v>46635</v>
      </c>
      <c r="N451" s="55">
        <v>46659</v>
      </c>
    </row>
    <row r="452" spans="2:14" x14ac:dyDescent="0.25">
      <c r="B452" s="79" t="s">
        <v>381</v>
      </c>
      <c r="C452" s="82" t="s">
        <v>1056</v>
      </c>
      <c r="D452" s="82" t="s">
        <v>405</v>
      </c>
      <c r="E452" s="82" t="s">
        <v>849</v>
      </c>
      <c r="F452" s="82" t="s">
        <v>1234</v>
      </c>
      <c r="G452" s="85" t="s">
        <v>1109</v>
      </c>
      <c r="H452" s="85" t="s">
        <v>1109</v>
      </c>
      <c r="I452" s="82" t="s">
        <v>1485</v>
      </c>
      <c r="J452" s="82" t="s">
        <v>1486</v>
      </c>
      <c r="K452" s="82" t="s">
        <v>385</v>
      </c>
      <c r="L452" s="88" t="s">
        <v>310</v>
      </c>
      <c r="M452" s="54">
        <v>46674</v>
      </c>
      <c r="N452" s="55">
        <v>46698</v>
      </c>
    </row>
    <row r="453" spans="2:14" x14ac:dyDescent="0.25">
      <c r="B453" s="79" t="s">
        <v>381</v>
      </c>
      <c r="C453" s="82" t="s">
        <v>1056</v>
      </c>
      <c r="D453" s="82" t="s">
        <v>405</v>
      </c>
      <c r="E453" s="82" t="s">
        <v>849</v>
      </c>
      <c r="F453" s="82" t="s">
        <v>1234</v>
      </c>
      <c r="G453" s="85" t="s">
        <v>1238</v>
      </c>
      <c r="H453" s="85" t="s">
        <v>1238</v>
      </c>
      <c r="I453" s="82" t="s">
        <v>1487</v>
      </c>
      <c r="J453" s="82" t="s">
        <v>1488</v>
      </c>
      <c r="K453" s="82" t="s">
        <v>385</v>
      </c>
      <c r="L453" s="88" t="s">
        <v>310</v>
      </c>
      <c r="M453" s="54">
        <v>46699</v>
      </c>
      <c r="N453" s="55">
        <v>46722</v>
      </c>
    </row>
    <row r="454" spans="2:14" x14ac:dyDescent="0.25">
      <c r="B454" s="79" t="s">
        <v>381</v>
      </c>
      <c r="C454" s="82" t="s">
        <v>1056</v>
      </c>
      <c r="D454" s="82" t="s">
        <v>405</v>
      </c>
      <c r="E454" s="82" t="s">
        <v>849</v>
      </c>
      <c r="F454" s="82" t="s">
        <v>1234</v>
      </c>
      <c r="G454" s="85" t="s">
        <v>1241</v>
      </c>
      <c r="H454" s="85" t="s">
        <v>1241</v>
      </c>
      <c r="I454" s="82" t="s">
        <v>1489</v>
      </c>
      <c r="J454" s="82" t="s">
        <v>1490</v>
      </c>
      <c r="K454" s="82" t="s">
        <v>385</v>
      </c>
      <c r="L454" s="88" t="s">
        <v>310</v>
      </c>
      <c r="M454" s="54">
        <v>46674</v>
      </c>
      <c r="N454" s="55">
        <v>46698</v>
      </c>
    </row>
    <row r="455" spans="2:14" x14ac:dyDescent="0.25">
      <c r="B455" s="79" t="s">
        <v>381</v>
      </c>
      <c r="C455" s="82" t="s">
        <v>1056</v>
      </c>
      <c r="D455" s="82" t="s">
        <v>405</v>
      </c>
      <c r="E455" s="82" t="s">
        <v>849</v>
      </c>
      <c r="F455" s="82" t="s">
        <v>1234</v>
      </c>
      <c r="G455" s="85" t="s">
        <v>1244</v>
      </c>
      <c r="H455" s="85" t="s">
        <v>1244</v>
      </c>
      <c r="I455" s="82" t="s">
        <v>1491</v>
      </c>
      <c r="J455" s="82" t="s">
        <v>1492</v>
      </c>
      <c r="K455" s="82" t="s">
        <v>385</v>
      </c>
      <c r="L455" s="88" t="s">
        <v>310</v>
      </c>
      <c r="M455" s="54">
        <v>46674</v>
      </c>
      <c r="N455" s="55">
        <v>46698</v>
      </c>
    </row>
    <row r="456" spans="2:14" x14ac:dyDescent="0.25">
      <c r="B456" s="79" t="s">
        <v>381</v>
      </c>
      <c r="C456" s="82" t="s">
        <v>1056</v>
      </c>
      <c r="D456" s="82" t="s">
        <v>405</v>
      </c>
      <c r="E456" s="82" t="s">
        <v>849</v>
      </c>
      <c r="F456" s="82" t="s">
        <v>1247</v>
      </c>
      <c r="G456" s="85" t="s">
        <v>1248</v>
      </c>
      <c r="H456" s="85" t="s">
        <v>1248</v>
      </c>
      <c r="I456" s="82" t="s">
        <v>1493</v>
      </c>
      <c r="J456" s="82" t="s">
        <v>1494</v>
      </c>
      <c r="K456" s="82" t="s">
        <v>385</v>
      </c>
      <c r="L456" s="88" t="s">
        <v>214</v>
      </c>
      <c r="M456" s="54">
        <v>46743</v>
      </c>
      <c r="N456" s="55">
        <v>46758</v>
      </c>
    </row>
    <row r="457" spans="2:14" x14ac:dyDescent="0.25">
      <c r="B457" s="79" t="s">
        <v>381</v>
      </c>
      <c r="C457" s="82" t="s">
        <v>1056</v>
      </c>
      <c r="D457" s="82" t="s">
        <v>405</v>
      </c>
      <c r="E457" s="82" t="s">
        <v>849</v>
      </c>
      <c r="F457" s="82" t="s">
        <v>1247</v>
      </c>
      <c r="G457" s="85" t="s">
        <v>1251</v>
      </c>
      <c r="H457" s="85" t="s">
        <v>1251</v>
      </c>
      <c r="I457" s="82" t="s">
        <v>1495</v>
      </c>
      <c r="J457" s="82" t="s">
        <v>1496</v>
      </c>
      <c r="K457" s="82" t="s">
        <v>385</v>
      </c>
      <c r="L457" s="88" t="s">
        <v>310</v>
      </c>
      <c r="M457" s="54">
        <v>46713</v>
      </c>
      <c r="N457" s="55">
        <v>46736</v>
      </c>
    </row>
    <row r="458" spans="2:14" x14ac:dyDescent="0.25">
      <c r="B458" s="79" t="s">
        <v>381</v>
      </c>
      <c r="C458" s="82" t="s">
        <v>1056</v>
      </c>
      <c r="D458" s="82" t="s">
        <v>405</v>
      </c>
      <c r="E458" s="82" t="s">
        <v>849</v>
      </c>
      <c r="F458" s="82" t="s">
        <v>1247</v>
      </c>
      <c r="G458" s="85" t="s">
        <v>1254</v>
      </c>
      <c r="H458" s="85" t="s">
        <v>1254</v>
      </c>
      <c r="I458" s="82" t="s">
        <v>1497</v>
      </c>
      <c r="J458" s="82" t="s">
        <v>1498</v>
      </c>
      <c r="K458" s="82" t="s">
        <v>385</v>
      </c>
      <c r="L458" s="88" t="s">
        <v>310</v>
      </c>
      <c r="M458" s="54">
        <v>46713</v>
      </c>
      <c r="N458" s="55">
        <v>46736</v>
      </c>
    </row>
    <row r="459" spans="2:14" x14ac:dyDescent="0.25">
      <c r="B459" s="79" t="s">
        <v>381</v>
      </c>
      <c r="C459" s="82" t="s">
        <v>1056</v>
      </c>
      <c r="D459" s="82" t="s">
        <v>405</v>
      </c>
      <c r="E459" s="82" t="s">
        <v>849</v>
      </c>
      <c r="F459" s="82" t="s">
        <v>1247</v>
      </c>
      <c r="G459" s="85" t="s">
        <v>1257</v>
      </c>
      <c r="H459" s="85" t="s">
        <v>1257</v>
      </c>
      <c r="I459" s="82" t="s">
        <v>1499</v>
      </c>
      <c r="J459" s="82" t="s">
        <v>1500</v>
      </c>
      <c r="K459" s="82" t="s">
        <v>385</v>
      </c>
      <c r="L459" s="88" t="s">
        <v>214</v>
      </c>
      <c r="M459" s="54">
        <v>46774</v>
      </c>
      <c r="N459" s="55">
        <v>46789</v>
      </c>
    </row>
    <row r="460" spans="2:14" x14ac:dyDescent="0.25">
      <c r="B460" s="79" t="s">
        <v>381</v>
      </c>
      <c r="C460" s="82" t="s">
        <v>1056</v>
      </c>
      <c r="D460" s="82" t="s">
        <v>405</v>
      </c>
      <c r="E460" s="82" t="s">
        <v>849</v>
      </c>
      <c r="F460" s="82" t="s">
        <v>1247</v>
      </c>
      <c r="G460" s="85" t="s">
        <v>1260</v>
      </c>
      <c r="H460" s="85" t="s">
        <v>1260</v>
      </c>
      <c r="I460" s="82" t="s">
        <v>1501</v>
      </c>
      <c r="J460" s="82" t="s">
        <v>1502</v>
      </c>
      <c r="K460" s="82" t="s">
        <v>385</v>
      </c>
      <c r="L460" s="88" t="s">
        <v>317</v>
      </c>
      <c r="M460" s="54">
        <v>46713</v>
      </c>
      <c r="N460" s="55">
        <v>46744</v>
      </c>
    </row>
    <row r="461" spans="2:14" x14ac:dyDescent="0.25">
      <c r="B461" s="79" t="s">
        <v>381</v>
      </c>
      <c r="C461" s="82" t="s">
        <v>1056</v>
      </c>
      <c r="D461" s="82" t="s">
        <v>405</v>
      </c>
      <c r="E461" s="82" t="s">
        <v>849</v>
      </c>
      <c r="F461" s="82" t="s">
        <v>1247</v>
      </c>
      <c r="G461" s="85" t="s">
        <v>1266</v>
      </c>
      <c r="H461" s="85" t="s">
        <v>1266</v>
      </c>
      <c r="I461" s="82" t="s">
        <v>1503</v>
      </c>
      <c r="J461" s="82" t="s">
        <v>1504</v>
      </c>
      <c r="K461" s="82" t="s">
        <v>385</v>
      </c>
      <c r="L461" s="88" t="s">
        <v>310</v>
      </c>
      <c r="M461" s="54">
        <v>46699</v>
      </c>
      <c r="N461" s="55">
        <v>46722</v>
      </c>
    </row>
    <row r="462" spans="2:14" x14ac:dyDescent="0.25">
      <c r="B462" s="79" t="s">
        <v>381</v>
      </c>
      <c r="C462" s="82" t="s">
        <v>1056</v>
      </c>
      <c r="D462" s="82" t="s">
        <v>405</v>
      </c>
      <c r="E462" s="82" t="s">
        <v>849</v>
      </c>
      <c r="F462" s="82" t="s">
        <v>1269</v>
      </c>
      <c r="G462" s="85" t="s">
        <v>1294</v>
      </c>
      <c r="H462" s="85" t="s">
        <v>1294</v>
      </c>
      <c r="I462" s="82" t="s">
        <v>1505</v>
      </c>
      <c r="J462" s="82" t="s">
        <v>1506</v>
      </c>
      <c r="K462" s="82" t="s">
        <v>385</v>
      </c>
      <c r="L462" s="88" t="s">
        <v>214</v>
      </c>
      <c r="M462" s="54">
        <v>46800</v>
      </c>
      <c r="N462" s="55">
        <v>46820</v>
      </c>
    </row>
    <row r="463" spans="2:14" x14ac:dyDescent="0.25">
      <c r="B463" s="79" t="s">
        <v>381</v>
      </c>
      <c r="C463" s="82" t="s">
        <v>1056</v>
      </c>
      <c r="D463" s="82" t="s">
        <v>405</v>
      </c>
      <c r="E463" s="82" t="s">
        <v>849</v>
      </c>
      <c r="F463" s="82" t="s">
        <v>1269</v>
      </c>
      <c r="G463" s="85" t="s">
        <v>1294</v>
      </c>
      <c r="H463" s="85" t="s">
        <v>1437</v>
      </c>
      <c r="I463" s="82" t="s">
        <v>1507</v>
      </c>
      <c r="J463" s="82" t="s">
        <v>1508</v>
      </c>
      <c r="K463" s="82" t="s">
        <v>385</v>
      </c>
      <c r="L463" s="88" t="s">
        <v>220</v>
      </c>
      <c r="M463" s="54">
        <v>46800</v>
      </c>
      <c r="N463" s="55">
        <v>46823</v>
      </c>
    </row>
    <row r="464" spans="2:14" x14ac:dyDescent="0.25">
      <c r="B464" s="79" t="s">
        <v>381</v>
      </c>
      <c r="C464" s="82" t="s">
        <v>1056</v>
      </c>
      <c r="D464" s="82" t="s">
        <v>405</v>
      </c>
      <c r="E464" s="82" t="s">
        <v>849</v>
      </c>
      <c r="F464" s="82" t="s">
        <v>1269</v>
      </c>
      <c r="G464" s="85" t="s">
        <v>1286</v>
      </c>
      <c r="H464" s="85" t="s">
        <v>1286</v>
      </c>
      <c r="I464" s="82" t="s">
        <v>1509</v>
      </c>
      <c r="J464" s="82" t="s">
        <v>1510</v>
      </c>
      <c r="K464" s="82" t="s">
        <v>385</v>
      </c>
      <c r="L464" s="88" t="s">
        <v>214</v>
      </c>
      <c r="M464" s="54">
        <v>46852</v>
      </c>
      <c r="N464" s="55">
        <v>46867</v>
      </c>
    </row>
    <row r="465" spans="2:14" x14ac:dyDescent="0.25">
      <c r="B465" s="79" t="s">
        <v>381</v>
      </c>
      <c r="C465" s="82" t="s">
        <v>1056</v>
      </c>
      <c r="D465" s="82" t="s">
        <v>405</v>
      </c>
      <c r="E465" s="82" t="s">
        <v>873</v>
      </c>
      <c r="F465" s="82" t="s">
        <v>1057</v>
      </c>
      <c r="G465" s="85" t="s">
        <v>874</v>
      </c>
      <c r="H465" s="85" t="s">
        <v>1058</v>
      </c>
      <c r="I465" s="82" t="s">
        <v>1511</v>
      </c>
      <c r="J465" s="82" t="s">
        <v>1512</v>
      </c>
      <c r="K465" s="82" t="s">
        <v>385</v>
      </c>
      <c r="L465" s="88" t="s">
        <v>317</v>
      </c>
      <c r="M465" s="54">
        <v>46085</v>
      </c>
      <c r="N465" s="55">
        <v>46119</v>
      </c>
    </row>
    <row r="466" spans="2:14" x14ac:dyDescent="0.25">
      <c r="B466" s="79" t="s">
        <v>381</v>
      </c>
      <c r="C466" s="82" t="s">
        <v>1056</v>
      </c>
      <c r="D466" s="82" t="s">
        <v>405</v>
      </c>
      <c r="E466" s="82" t="s">
        <v>873</v>
      </c>
      <c r="F466" s="82" t="s">
        <v>1057</v>
      </c>
      <c r="G466" s="85" t="s">
        <v>874</v>
      </c>
      <c r="H466" s="85" t="s">
        <v>1061</v>
      </c>
      <c r="I466" s="82" t="s">
        <v>1513</v>
      </c>
      <c r="J466" s="82" t="s">
        <v>1514</v>
      </c>
      <c r="K466" s="82" t="s">
        <v>385</v>
      </c>
      <c r="L466" s="88" t="s">
        <v>317</v>
      </c>
      <c r="M466" s="54">
        <v>46085</v>
      </c>
      <c r="N466" s="55">
        <v>46119</v>
      </c>
    </row>
    <row r="467" spans="2:14" x14ac:dyDescent="0.25">
      <c r="B467" s="79" t="s">
        <v>381</v>
      </c>
      <c r="C467" s="82" t="s">
        <v>1056</v>
      </c>
      <c r="D467" s="82" t="s">
        <v>405</v>
      </c>
      <c r="E467" s="82" t="s">
        <v>873</v>
      </c>
      <c r="F467" s="82" t="s">
        <v>1057</v>
      </c>
      <c r="G467" s="85" t="s">
        <v>883</v>
      </c>
      <c r="H467" s="85" t="s">
        <v>1061</v>
      </c>
      <c r="I467" s="82" t="s">
        <v>1515</v>
      </c>
      <c r="J467" s="82" t="s">
        <v>1516</v>
      </c>
      <c r="K467" s="82" t="s">
        <v>385</v>
      </c>
      <c r="L467" s="88" t="s">
        <v>317</v>
      </c>
      <c r="M467" s="54">
        <v>46134</v>
      </c>
      <c r="N467" s="55">
        <v>46166</v>
      </c>
    </row>
    <row r="468" spans="2:14" x14ac:dyDescent="0.25">
      <c r="B468" s="79" t="s">
        <v>381</v>
      </c>
      <c r="C468" s="82" t="s">
        <v>1056</v>
      </c>
      <c r="D468" s="82" t="s">
        <v>405</v>
      </c>
      <c r="E468" s="82" t="s">
        <v>873</v>
      </c>
      <c r="F468" s="82" t="s">
        <v>1057</v>
      </c>
      <c r="G468" s="85" t="s">
        <v>883</v>
      </c>
      <c r="H468" s="85" t="s">
        <v>1058</v>
      </c>
      <c r="I468" s="82" t="s">
        <v>1517</v>
      </c>
      <c r="J468" s="82" t="s">
        <v>1518</v>
      </c>
      <c r="K468" s="82" t="s">
        <v>385</v>
      </c>
      <c r="L468" s="88" t="s">
        <v>317</v>
      </c>
      <c r="M468" s="54">
        <v>46134</v>
      </c>
      <c r="N468" s="55">
        <v>46166</v>
      </c>
    </row>
    <row r="469" spans="2:14" x14ac:dyDescent="0.25">
      <c r="B469" s="79" t="s">
        <v>381</v>
      </c>
      <c r="C469" s="82" t="s">
        <v>1056</v>
      </c>
      <c r="D469" s="82" t="s">
        <v>405</v>
      </c>
      <c r="E469" s="82" t="s">
        <v>873</v>
      </c>
      <c r="F469" s="82" t="s">
        <v>1108</v>
      </c>
      <c r="G469" s="85" t="s">
        <v>874</v>
      </c>
      <c r="H469" s="85" t="s">
        <v>1109</v>
      </c>
      <c r="I469" s="82" t="s">
        <v>1519</v>
      </c>
      <c r="J469" s="82" t="s">
        <v>1520</v>
      </c>
      <c r="K469" s="82" t="s">
        <v>385</v>
      </c>
      <c r="L469" s="88" t="s">
        <v>310</v>
      </c>
      <c r="M469" s="54">
        <v>46190</v>
      </c>
      <c r="N469" s="55">
        <v>46214</v>
      </c>
    </row>
    <row r="470" spans="2:14" x14ac:dyDescent="0.25">
      <c r="B470" s="79" t="s">
        <v>381</v>
      </c>
      <c r="C470" s="82" t="s">
        <v>1056</v>
      </c>
      <c r="D470" s="82" t="s">
        <v>405</v>
      </c>
      <c r="E470" s="82" t="s">
        <v>873</v>
      </c>
      <c r="F470" s="82" t="s">
        <v>1108</v>
      </c>
      <c r="G470" s="85" t="s">
        <v>874</v>
      </c>
      <c r="H470" s="85" t="s">
        <v>1112</v>
      </c>
      <c r="I470" s="82" t="s">
        <v>1521</v>
      </c>
      <c r="J470" s="82" t="s">
        <v>1522</v>
      </c>
      <c r="K470" s="82" t="s">
        <v>385</v>
      </c>
      <c r="L470" s="88" t="s">
        <v>310</v>
      </c>
      <c r="M470" s="54">
        <v>46215</v>
      </c>
      <c r="N470" s="55">
        <v>46238</v>
      </c>
    </row>
    <row r="471" spans="2:14" x14ac:dyDescent="0.25">
      <c r="B471" s="79" t="s">
        <v>381</v>
      </c>
      <c r="C471" s="82" t="s">
        <v>1056</v>
      </c>
      <c r="D471" s="82" t="s">
        <v>405</v>
      </c>
      <c r="E471" s="82" t="s">
        <v>873</v>
      </c>
      <c r="F471" s="82" t="s">
        <v>1108</v>
      </c>
      <c r="G471" s="85" t="s">
        <v>874</v>
      </c>
      <c r="H471" s="85" t="s">
        <v>1115</v>
      </c>
      <c r="I471" s="82" t="s">
        <v>1523</v>
      </c>
      <c r="J471" s="82" t="s">
        <v>1524</v>
      </c>
      <c r="K471" s="82" t="s">
        <v>385</v>
      </c>
      <c r="L471" s="88" t="s">
        <v>310</v>
      </c>
      <c r="M471" s="54">
        <v>46239</v>
      </c>
      <c r="N471" s="55">
        <v>46263</v>
      </c>
    </row>
    <row r="472" spans="2:14" x14ac:dyDescent="0.25">
      <c r="B472" s="79" t="s">
        <v>381</v>
      </c>
      <c r="C472" s="82" t="s">
        <v>1056</v>
      </c>
      <c r="D472" s="82" t="s">
        <v>405</v>
      </c>
      <c r="E472" s="82" t="s">
        <v>873</v>
      </c>
      <c r="F472" s="82" t="s">
        <v>1108</v>
      </c>
      <c r="G472" s="85" t="s">
        <v>874</v>
      </c>
      <c r="H472" s="85" t="s">
        <v>1118</v>
      </c>
      <c r="I472" s="82" t="s">
        <v>1525</v>
      </c>
      <c r="J472" s="82" t="s">
        <v>1526</v>
      </c>
      <c r="K472" s="82" t="s">
        <v>385</v>
      </c>
      <c r="L472" s="88" t="s">
        <v>310</v>
      </c>
      <c r="M472" s="54">
        <v>46264</v>
      </c>
      <c r="N472" s="55">
        <v>46287</v>
      </c>
    </row>
    <row r="473" spans="2:14" x14ac:dyDescent="0.25">
      <c r="B473" s="79" t="s">
        <v>381</v>
      </c>
      <c r="C473" s="82" t="s">
        <v>1056</v>
      </c>
      <c r="D473" s="82" t="s">
        <v>405</v>
      </c>
      <c r="E473" s="82" t="s">
        <v>873</v>
      </c>
      <c r="F473" s="82" t="s">
        <v>1108</v>
      </c>
      <c r="G473" s="85" t="s">
        <v>874</v>
      </c>
      <c r="H473" s="85" t="s">
        <v>1121</v>
      </c>
      <c r="I473" s="82" t="s">
        <v>1527</v>
      </c>
      <c r="J473" s="82" t="s">
        <v>1528</v>
      </c>
      <c r="K473" s="82" t="s">
        <v>385</v>
      </c>
      <c r="L473" s="88" t="s">
        <v>310</v>
      </c>
      <c r="M473" s="54">
        <v>46302</v>
      </c>
      <c r="N473" s="55">
        <v>46326</v>
      </c>
    </row>
    <row r="474" spans="2:14" x14ac:dyDescent="0.25">
      <c r="B474" s="79" t="s">
        <v>381</v>
      </c>
      <c r="C474" s="82" t="s">
        <v>1056</v>
      </c>
      <c r="D474" s="82" t="s">
        <v>405</v>
      </c>
      <c r="E474" s="82" t="s">
        <v>873</v>
      </c>
      <c r="F474" s="82" t="s">
        <v>1108</v>
      </c>
      <c r="G474" s="85" t="s">
        <v>883</v>
      </c>
      <c r="H474" s="85" t="s">
        <v>1109</v>
      </c>
      <c r="I474" s="82" t="s">
        <v>1529</v>
      </c>
      <c r="J474" s="82" t="s">
        <v>1530</v>
      </c>
      <c r="K474" s="82" t="s">
        <v>385</v>
      </c>
      <c r="L474" s="88" t="s">
        <v>310</v>
      </c>
      <c r="M474" s="54">
        <v>46387</v>
      </c>
      <c r="N474" s="55">
        <v>46411</v>
      </c>
    </row>
    <row r="475" spans="2:14" x14ac:dyDescent="0.25">
      <c r="B475" s="79" t="s">
        <v>381</v>
      </c>
      <c r="C475" s="82" t="s">
        <v>1056</v>
      </c>
      <c r="D475" s="82" t="s">
        <v>405</v>
      </c>
      <c r="E475" s="82" t="s">
        <v>873</v>
      </c>
      <c r="F475" s="82" t="s">
        <v>1108</v>
      </c>
      <c r="G475" s="85" t="s">
        <v>883</v>
      </c>
      <c r="H475" s="85" t="s">
        <v>1112</v>
      </c>
      <c r="I475" s="82" t="s">
        <v>1531</v>
      </c>
      <c r="J475" s="82" t="s">
        <v>1532</v>
      </c>
      <c r="K475" s="82" t="s">
        <v>385</v>
      </c>
      <c r="L475" s="88" t="s">
        <v>310</v>
      </c>
      <c r="M475" s="54">
        <v>46412</v>
      </c>
      <c r="N475" s="55">
        <v>46435</v>
      </c>
    </row>
    <row r="476" spans="2:14" x14ac:dyDescent="0.25">
      <c r="B476" s="79" t="s">
        <v>381</v>
      </c>
      <c r="C476" s="82" t="s">
        <v>1056</v>
      </c>
      <c r="D476" s="82" t="s">
        <v>405</v>
      </c>
      <c r="E476" s="82" t="s">
        <v>873</v>
      </c>
      <c r="F476" s="82" t="s">
        <v>1108</v>
      </c>
      <c r="G476" s="85" t="s">
        <v>883</v>
      </c>
      <c r="H476" s="85" t="s">
        <v>1115</v>
      </c>
      <c r="I476" s="82" t="s">
        <v>1533</v>
      </c>
      <c r="J476" s="82" t="s">
        <v>1534</v>
      </c>
      <c r="K476" s="82" t="s">
        <v>385</v>
      </c>
      <c r="L476" s="88" t="s">
        <v>310</v>
      </c>
      <c r="M476" s="54">
        <v>46436</v>
      </c>
      <c r="N476" s="55">
        <v>46463</v>
      </c>
    </row>
    <row r="477" spans="2:14" x14ac:dyDescent="0.25">
      <c r="B477" s="79" t="s">
        <v>381</v>
      </c>
      <c r="C477" s="82" t="s">
        <v>1056</v>
      </c>
      <c r="D477" s="82" t="s">
        <v>405</v>
      </c>
      <c r="E477" s="82" t="s">
        <v>873</v>
      </c>
      <c r="F477" s="82" t="s">
        <v>1108</v>
      </c>
      <c r="G477" s="85" t="s">
        <v>883</v>
      </c>
      <c r="H477" s="85" t="s">
        <v>1118</v>
      </c>
      <c r="I477" s="82" t="s">
        <v>1535</v>
      </c>
      <c r="J477" s="82" t="s">
        <v>1536</v>
      </c>
      <c r="K477" s="82" t="s">
        <v>385</v>
      </c>
      <c r="L477" s="88" t="s">
        <v>310</v>
      </c>
      <c r="M477" s="54">
        <v>46464</v>
      </c>
      <c r="N477" s="55">
        <v>46488</v>
      </c>
    </row>
    <row r="478" spans="2:14" x14ac:dyDescent="0.25">
      <c r="B478" s="79" t="s">
        <v>381</v>
      </c>
      <c r="C478" s="82" t="s">
        <v>1056</v>
      </c>
      <c r="D478" s="82" t="s">
        <v>405</v>
      </c>
      <c r="E478" s="82" t="s">
        <v>873</v>
      </c>
      <c r="F478" s="82" t="s">
        <v>1108</v>
      </c>
      <c r="G478" s="85" t="s">
        <v>883</v>
      </c>
      <c r="H478" s="85" t="s">
        <v>1121</v>
      </c>
      <c r="I478" s="82" t="s">
        <v>1537</v>
      </c>
      <c r="J478" s="82" t="s">
        <v>1538</v>
      </c>
      <c r="K478" s="82" t="s">
        <v>385</v>
      </c>
      <c r="L478" s="88" t="s">
        <v>310</v>
      </c>
      <c r="M478" s="54">
        <v>46489</v>
      </c>
      <c r="N478" s="55">
        <v>46512</v>
      </c>
    </row>
    <row r="479" spans="2:14" x14ac:dyDescent="0.25">
      <c r="B479" s="79" t="s">
        <v>381</v>
      </c>
      <c r="C479" s="82" t="s">
        <v>1056</v>
      </c>
      <c r="D479" s="82" t="s">
        <v>405</v>
      </c>
      <c r="E479" s="82" t="s">
        <v>873</v>
      </c>
      <c r="F479" s="82" t="s">
        <v>1234</v>
      </c>
      <c r="G479" s="85" t="s">
        <v>1109</v>
      </c>
      <c r="H479" s="85" t="s">
        <v>1109</v>
      </c>
      <c r="I479" s="82" t="s">
        <v>1539</v>
      </c>
      <c r="J479" s="82" t="s">
        <v>1540</v>
      </c>
      <c r="K479" s="82" t="s">
        <v>385</v>
      </c>
      <c r="L479" s="88" t="s">
        <v>310</v>
      </c>
      <c r="M479" s="54">
        <v>46561</v>
      </c>
      <c r="N479" s="55">
        <v>46585</v>
      </c>
    </row>
    <row r="480" spans="2:14" x14ac:dyDescent="0.25">
      <c r="B480" s="79" t="s">
        <v>381</v>
      </c>
      <c r="C480" s="82" t="s">
        <v>1056</v>
      </c>
      <c r="D480" s="82" t="s">
        <v>405</v>
      </c>
      <c r="E480" s="82" t="s">
        <v>873</v>
      </c>
      <c r="F480" s="82" t="s">
        <v>1234</v>
      </c>
      <c r="G480" s="85" t="s">
        <v>1238</v>
      </c>
      <c r="H480" s="85" t="s">
        <v>1238</v>
      </c>
      <c r="I480" s="82" t="s">
        <v>1541</v>
      </c>
      <c r="J480" s="82" t="s">
        <v>1542</v>
      </c>
      <c r="K480" s="82" t="s">
        <v>385</v>
      </c>
      <c r="L480" s="88" t="s">
        <v>310</v>
      </c>
      <c r="M480" s="54">
        <v>46600</v>
      </c>
      <c r="N480" s="55">
        <v>46623</v>
      </c>
    </row>
    <row r="481" spans="2:14" x14ac:dyDescent="0.25">
      <c r="B481" s="79" t="s">
        <v>381</v>
      </c>
      <c r="C481" s="82" t="s">
        <v>1056</v>
      </c>
      <c r="D481" s="82" t="s">
        <v>405</v>
      </c>
      <c r="E481" s="82" t="s">
        <v>873</v>
      </c>
      <c r="F481" s="82" t="s">
        <v>1234</v>
      </c>
      <c r="G481" s="85" t="s">
        <v>1241</v>
      </c>
      <c r="H481" s="85" t="s">
        <v>1241</v>
      </c>
      <c r="I481" s="82" t="s">
        <v>1543</v>
      </c>
      <c r="J481" s="82" t="s">
        <v>1544</v>
      </c>
      <c r="K481" s="82" t="s">
        <v>385</v>
      </c>
      <c r="L481" s="88" t="s">
        <v>310</v>
      </c>
      <c r="M481" s="54">
        <v>46600</v>
      </c>
      <c r="N481" s="55">
        <v>46623</v>
      </c>
    </row>
    <row r="482" spans="2:14" x14ac:dyDescent="0.25">
      <c r="B482" s="79" t="s">
        <v>381</v>
      </c>
      <c r="C482" s="82" t="s">
        <v>1056</v>
      </c>
      <c r="D482" s="82" t="s">
        <v>405</v>
      </c>
      <c r="E482" s="82" t="s">
        <v>873</v>
      </c>
      <c r="F482" s="82" t="s">
        <v>1234</v>
      </c>
      <c r="G482" s="85" t="s">
        <v>1244</v>
      </c>
      <c r="H482" s="85" t="s">
        <v>1244</v>
      </c>
      <c r="I482" s="82" t="s">
        <v>1545</v>
      </c>
      <c r="J482" s="82" t="s">
        <v>1546</v>
      </c>
      <c r="K482" s="82" t="s">
        <v>385</v>
      </c>
      <c r="L482" s="88" t="s">
        <v>310</v>
      </c>
      <c r="M482" s="54">
        <v>46638</v>
      </c>
      <c r="N482" s="55">
        <v>46663</v>
      </c>
    </row>
    <row r="483" spans="2:14" x14ac:dyDescent="0.25">
      <c r="B483" s="79" t="s">
        <v>381</v>
      </c>
      <c r="C483" s="82" t="s">
        <v>1056</v>
      </c>
      <c r="D483" s="82" t="s">
        <v>405</v>
      </c>
      <c r="E483" s="82" t="s">
        <v>873</v>
      </c>
      <c r="F483" s="82" t="s">
        <v>1247</v>
      </c>
      <c r="G483" s="85" t="s">
        <v>1248</v>
      </c>
      <c r="H483" s="85" t="s">
        <v>1248</v>
      </c>
      <c r="I483" s="82" t="s">
        <v>1547</v>
      </c>
      <c r="J483" s="82" t="s">
        <v>1548</v>
      </c>
      <c r="K483" s="82" t="s">
        <v>385</v>
      </c>
      <c r="L483" s="88" t="s">
        <v>310</v>
      </c>
      <c r="M483" s="54">
        <v>46678</v>
      </c>
      <c r="N483" s="55">
        <v>46701</v>
      </c>
    </row>
    <row r="484" spans="2:14" x14ac:dyDescent="0.25">
      <c r="B484" s="79" t="s">
        <v>381</v>
      </c>
      <c r="C484" s="82" t="s">
        <v>1056</v>
      </c>
      <c r="D484" s="82" t="s">
        <v>405</v>
      </c>
      <c r="E484" s="82" t="s">
        <v>873</v>
      </c>
      <c r="F484" s="82" t="s">
        <v>1247</v>
      </c>
      <c r="G484" s="85" t="s">
        <v>1251</v>
      </c>
      <c r="H484" s="85" t="s">
        <v>1251</v>
      </c>
      <c r="I484" s="82" t="s">
        <v>1549</v>
      </c>
      <c r="J484" s="82" t="s">
        <v>1550</v>
      </c>
      <c r="K484" s="82" t="s">
        <v>385</v>
      </c>
      <c r="L484" s="88" t="s">
        <v>310</v>
      </c>
      <c r="M484" s="54">
        <v>46664</v>
      </c>
      <c r="N484" s="55">
        <v>46687</v>
      </c>
    </row>
    <row r="485" spans="2:14" x14ac:dyDescent="0.25">
      <c r="B485" s="79" t="s">
        <v>381</v>
      </c>
      <c r="C485" s="82" t="s">
        <v>1056</v>
      </c>
      <c r="D485" s="82" t="s">
        <v>405</v>
      </c>
      <c r="E485" s="82" t="s">
        <v>873</v>
      </c>
      <c r="F485" s="82" t="s">
        <v>1247</v>
      </c>
      <c r="G485" s="85" t="s">
        <v>1254</v>
      </c>
      <c r="H485" s="85" t="s">
        <v>1254</v>
      </c>
      <c r="I485" s="82" t="s">
        <v>1551</v>
      </c>
      <c r="J485" s="82" t="s">
        <v>1552</v>
      </c>
      <c r="K485" s="82" t="s">
        <v>385</v>
      </c>
      <c r="L485" s="88" t="s">
        <v>310</v>
      </c>
      <c r="M485" s="54">
        <v>46664</v>
      </c>
      <c r="N485" s="55">
        <v>46687</v>
      </c>
    </row>
    <row r="486" spans="2:14" x14ac:dyDescent="0.25">
      <c r="B486" s="79" t="s">
        <v>381</v>
      </c>
      <c r="C486" s="82" t="s">
        <v>1056</v>
      </c>
      <c r="D486" s="82" t="s">
        <v>405</v>
      </c>
      <c r="E486" s="82" t="s">
        <v>873</v>
      </c>
      <c r="F486" s="82" t="s">
        <v>1247</v>
      </c>
      <c r="G486" s="85" t="s">
        <v>1257</v>
      </c>
      <c r="H486" s="85" t="s">
        <v>1257</v>
      </c>
      <c r="I486" s="82" t="s">
        <v>1553</v>
      </c>
      <c r="J486" s="82" t="s">
        <v>1554</v>
      </c>
      <c r="K486" s="82" t="s">
        <v>385</v>
      </c>
      <c r="L486" s="88" t="s">
        <v>214</v>
      </c>
      <c r="M486" s="54">
        <v>46774</v>
      </c>
      <c r="N486" s="55">
        <v>46789</v>
      </c>
    </row>
    <row r="487" spans="2:14" x14ac:dyDescent="0.25">
      <c r="B487" s="79" t="s">
        <v>381</v>
      </c>
      <c r="C487" s="82" t="s">
        <v>1056</v>
      </c>
      <c r="D487" s="82" t="s">
        <v>405</v>
      </c>
      <c r="E487" s="82" t="s">
        <v>873</v>
      </c>
      <c r="F487" s="82" t="s">
        <v>1247</v>
      </c>
      <c r="G487" s="85" t="s">
        <v>1260</v>
      </c>
      <c r="H487" s="85" t="s">
        <v>1260</v>
      </c>
      <c r="I487" s="82" t="s">
        <v>1555</v>
      </c>
      <c r="J487" s="82" t="s">
        <v>1556</v>
      </c>
      <c r="K487" s="82" t="s">
        <v>385</v>
      </c>
      <c r="L487" s="88" t="s">
        <v>310</v>
      </c>
      <c r="M487" s="54">
        <v>46678</v>
      </c>
      <c r="N487" s="55">
        <v>46701</v>
      </c>
    </row>
    <row r="488" spans="2:14" x14ac:dyDescent="0.25">
      <c r="B488" s="79" t="s">
        <v>381</v>
      </c>
      <c r="C488" s="82" t="s">
        <v>1056</v>
      </c>
      <c r="D488" s="82" t="s">
        <v>405</v>
      </c>
      <c r="E488" s="82" t="s">
        <v>873</v>
      </c>
      <c r="F488" s="82" t="s">
        <v>1247</v>
      </c>
      <c r="G488" s="85" t="s">
        <v>1266</v>
      </c>
      <c r="H488" s="85" t="s">
        <v>1266</v>
      </c>
      <c r="I488" s="82" t="s">
        <v>1557</v>
      </c>
      <c r="J488" s="82" t="s">
        <v>1558</v>
      </c>
      <c r="K488" s="82" t="s">
        <v>385</v>
      </c>
      <c r="L488" s="88" t="s">
        <v>310</v>
      </c>
      <c r="M488" s="54">
        <v>46678</v>
      </c>
      <c r="N488" s="55">
        <v>46701</v>
      </c>
    </row>
    <row r="489" spans="2:14" x14ac:dyDescent="0.25">
      <c r="B489" s="79" t="s">
        <v>381</v>
      </c>
      <c r="C489" s="82" t="s">
        <v>1056</v>
      </c>
      <c r="D489" s="82" t="s">
        <v>405</v>
      </c>
      <c r="E489" s="82" t="s">
        <v>873</v>
      </c>
      <c r="F489" s="82" t="s">
        <v>1269</v>
      </c>
      <c r="G489" s="85" t="s">
        <v>1294</v>
      </c>
      <c r="H489" s="85" t="s">
        <v>1294</v>
      </c>
      <c r="I489" s="82" t="s">
        <v>1559</v>
      </c>
      <c r="J489" s="82" t="s">
        <v>1560</v>
      </c>
      <c r="K489" s="82" t="s">
        <v>385</v>
      </c>
      <c r="L489" s="88" t="s">
        <v>310</v>
      </c>
      <c r="M489" s="54">
        <v>46804</v>
      </c>
      <c r="N489" s="55">
        <v>46832</v>
      </c>
    </row>
    <row r="490" spans="2:14" x14ac:dyDescent="0.25">
      <c r="B490" s="79" t="s">
        <v>381</v>
      </c>
      <c r="C490" s="82" t="s">
        <v>1056</v>
      </c>
      <c r="D490" s="82" t="s">
        <v>405</v>
      </c>
      <c r="E490" s="82" t="s">
        <v>873</v>
      </c>
      <c r="F490" s="82" t="s">
        <v>1269</v>
      </c>
      <c r="G490" s="85" t="s">
        <v>1294</v>
      </c>
      <c r="H490" s="85" t="s">
        <v>1437</v>
      </c>
      <c r="I490" s="82" t="s">
        <v>1561</v>
      </c>
      <c r="J490" s="82" t="s">
        <v>1562</v>
      </c>
      <c r="K490" s="82" t="s">
        <v>385</v>
      </c>
      <c r="L490" s="88" t="s">
        <v>310</v>
      </c>
      <c r="M490" s="54">
        <v>46804</v>
      </c>
      <c r="N490" s="55">
        <v>46832</v>
      </c>
    </row>
    <row r="491" spans="2:14" x14ac:dyDescent="0.25">
      <c r="B491" s="79" t="s">
        <v>381</v>
      </c>
      <c r="C491" s="82" t="s">
        <v>1056</v>
      </c>
      <c r="D491" s="82" t="s">
        <v>405</v>
      </c>
      <c r="E491" s="82" t="s">
        <v>873</v>
      </c>
      <c r="F491" s="82" t="s">
        <v>1269</v>
      </c>
      <c r="G491" s="85" t="s">
        <v>1286</v>
      </c>
      <c r="H491" s="85" t="s">
        <v>1286</v>
      </c>
      <c r="I491" s="82" t="s">
        <v>1563</v>
      </c>
      <c r="J491" s="82" t="s">
        <v>1564</v>
      </c>
      <c r="K491" s="82" t="s">
        <v>385</v>
      </c>
      <c r="L491" s="88" t="s">
        <v>214</v>
      </c>
      <c r="M491" s="54">
        <v>46847</v>
      </c>
      <c r="N491" s="55">
        <v>46862</v>
      </c>
    </row>
    <row r="492" spans="2:14" x14ac:dyDescent="0.25">
      <c r="B492" s="79" t="s">
        <v>381</v>
      </c>
      <c r="C492" s="82" t="s">
        <v>1056</v>
      </c>
      <c r="D492" s="82" t="s">
        <v>405</v>
      </c>
      <c r="E492" s="82" t="s">
        <v>890</v>
      </c>
      <c r="F492" s="82" t="s">
        <v>1057</v>
      </c>
      <c r="G492" s="85" t="s">
        <v>1565</v>
      </c>
      <c r="H492" s="85" t="s">
        <v>1058</v>
      </c>
      <c r="I492" s="82" t="s">
        <v>1566</v>
      </c>
      <c r="J492" s="82" t="s">
        <v>1567</v>
      </c>
      <c r="K492" s="82" t="s">
        <v>385</v>
      </c>
      <c r="L492" s="88" t="s">
        <v>317</v>
      </c>
      <c r="M492" s="54">
        <v>46126</v>
      </c>
      <c r="N492" s="55">
        <v>46158</v>
      </c>
    </row>
    <row r="493" spans="2:14" x14ac:dyDescent="0.25">
      <c r="B493" s="79" t="s">
        <v>381</v>
      </c>
      <c r="C493" s="82" t="s">
        <v>1056</v>
      </c>
      <c r="D493" s="82" t="s">
        <v>405</v>
      </c>
      <c r="E493" s="82" t="s">
        <v>890</v>
      </c>
      <c r="F493" s="82" t="s">
        <v>1057</v>
      </c>
      <c r="G493" s="85" t="s">
        <v>1565</v>
      </c>
      <c r="H493" s="85" t="s">
        <v>1061</v>
      </c>
      <c r="I493" s="82" t="s">
        <v>1568</v>
      </c>
      <c r="J493" s="82" t="s">
        <v>1569</v>
      </c>
      <c r="K493" s="82" t="s">
        <v>385</v>
      </c>
      <c r="L493" s="88" t="s">
        <v>317</v>
      </c>
      <c r="M493" s="54">
        <v>46126</v>
      </c>
      <c r="N493" s="55">
        <v>46158</v>
      </c>
    </row>
    <row r="494" spans="2:14" x14ac:dyDescent="0.25">
      <c r="B494" s="79" t="s">
        <v>381</v>
      </c>
      <c r="C494" s="82" t="s">
        <v>1056</v>
      </c>
      <c r="D494" s="82" t="s">
        <v>405</v>
      </c>
      <c r="E494" s="82" t="s">
        <v>890</v>
      </c>
      <c r="F494" s="82" t="s">
        <v>1057</v>
      </c>
      <c r="G494" s="85" t="s">
        <v>900</v>
      </c>
      <c r="H494" s="85" t="s">
        <v>1058</v>
      </c>
      <c r="I494" s="82" t="s">
        <v>1570</v>
      </c>
      <c r="J494" s="82" t="s">
        <v>1571</v>
      </c>
      <c r="K494" s="82" t="s">
        <v>385</v>
      </c>
      <c r="L494" s="88" t="s">
        <v>310</v>
      </c>
      <c r="M494" s="54">
        <v>46244</v>
      </c>
      <c r="N494" s="55">
        <v>46267</v>
      </c>
    </row>
    <row r="495" spans="2:14" x14ac:dyDescent="0.25">
      <c r="B495" s="79" t="s">
        <v>381</v>
      </c>
      <c r="C495" s="82" t="s">
        <v>1056</v>
      </c>
      <c r="D495" s="82" t="s">
        <v>405</v>
      </c>
      <c r="E495" s="82" t="s">
        <v>890</v>
      </c>
      <c r="F495" s="82" t="s">
        <v>1057</v>
      </c>
      <c r="G495" s="85" t="s">
        <v>900</v>
      </c>
      <c r="H495" s="85" t="s">
        <v>1061</v>
      </c>
      <c r="I495" s="82" t="s">
        <v>1572</v>
      </c>
      <c r="J495" s="82" t="s">
        <v>1573</v>
      </c>
      <c r="K495" s="82" t="s">
        <v>385</v>
      </c>
      <c r="L495" s="88" t="s">
        <v>310</v>
      </c>
      <c r="M495" s="54">
        <v>46244</v>
      </c>
      <c r="N495" s="55">
        <v>46267</v>
      </c>
    </row>
    <row r="496" spans="2:14" x14ac:dyDescent="0.25">
      <c r="B496" s="79" t="s">
        <v>381</v>
      </c>
      <c r="C496" s="82" t="s">
        <v>1056</v>
      </c>
      <c r="D496" s="82" t="s">
        <v>405</v>
      </c>
      <c r="E496" s="82" t="s">
        <v>890</v>
      </c>
      <c r="F496" s="82" t="s">
        <v>1057</v>
      </c>
      <c r="G496" s="85" t="s">
        <v>907</v>
      </c>
      <c r="H496" s="85" t="s">
        <v>1058</v>
      </c>
      <c r="I496" s="82" t="s">
        <v>1574</v>
      </c>
      <c r="J496" s="82" t="s">
        <v>1575</v>
      </c>
      <c r="K496" s="82" t="s">
        <v>385</v>
      </c>
      <c r="L496" s="88" t="s">
        <v>310</v>
      </c>
      <c r="M496" s="54">
        <v>46282</v>
      </c>
      <c r="N496" s="55">
        <v>46307</v>
      </c>
    </row>
    <row r="497" spans="2:14" x14ac:dyDescent="0.25">
      <c r="B497" s="79" t="s">
        <v>381</v>
      </c>
      <c r="C497" s="82" t="s">
        <v>1056</v>
      </c>
      <c r="D497" s="82" t="s">
        <v>405</v>
      </c>
      <c r="E497" s="82" t="s">
        <v>890</v>
      </c>
      <c r="F497" s="82" t="s">
        <v>1057</v>
      </c>
      <c r="G497" s="85" t="s">
        <v>907</v>
      </c>
      <c r="H497" s="85" t="s">
        <v>1061</v>
      </c>
      <c r="I497" s="82" t="s">
        <v>1576</v>
      </c>
      <c r="J497" s="82" t="s">
        <v>1577</v>
      </c>
      <c r="K497" s="82" t="s">
        <v>385</v>
      </c>
      <c r="L497" s="88" t="s">
        <v>310</v>
      </c>
      <c r="M497" s="54">
        <v>46282</v>
      </c>
      <c r="N497" s="55">
        <v>46307</v>
      </c>
    </row>
    <row r="498" spans="2:14" x14ac:dyDescent="0.25">
      <c r="B498" s="79" t="s">
        <v>381</v>
      </c>
      <c r="C498" s="82" t="s">
        <v>1056</v>
      </c>
      <c r="D498" s="82" t="s">
        <v>405</v>
      </c>
      <c r="E498" s="82" t="s">
        <v>890</v>
      </c>
      <c r="F498" s="82" t="s">
        <v>1108</v>
      </c>
      <c r="G498" s="85" t="s">
        <v>1565</v>
      </c>
      <c r="H498" s="85" t="s">
        <v>1109</v>
      </c>
      <c r="I498" s="82" t="s">
        <v>1578</v>
      </c>
      <c r="J498" s="82" t="s">
        <v>1579</v>
      </c>
      <c r="K498" s="82" t="s">
        <v>385</v>
      </c>
      <c r="L498" s="88" t="s">
        <v>310</v>
      </c>
      <c r="M498" s="54">
        <v>46322</v>
      </c>
      <c r="N498" s="55">
        <v>46345</v>
      </c>
    </row>
    <row r="499" spans="2:14" x14ac:dyDescent="0.25">
      <c r="B499" s="79" t="s">
        <v>381</v>
      </c>
      <c r="C499" s="82" t="s">
        <v>1056</v>
      </c>
      <c r="D499" s="82" t="s">
        <v>405</v>
      </c>
      <c r="E499" s="82" t="s">
        <v>890</v>
      </c>
      <c r="F499" s="82" t="s">
        <v>1108</v>
      </c>
      <c r="G499" s="85" t="s">
        <v>1565</v>
      </c>
      <c r="H499" s="85" t="s">
        <v>1112</v>
      </c>
      <c r="I499" s="82" t="s">
        <v>1580</v>
      </c>
      <c r="J499" s="82" t="s">
        <v>1581</v>
      </c>
      <c r="K499" s="82" t="s">
        <v>385</v>
      </c>
      <c r="L499" s="88" t="s">
        <v>310</v>
      </c>
      <c r="M499" s="54">
        <v>46322</v>
      </c>
      <c r="N499" s="55">
        <v>46345</v>
      </c>
    </row>
    <row r="500" spans="2:14" x14ac:dyDescent="0.25">
      <c r="B500" s="79" t="s">
        <v>381</v>
      </c>
      <c r="C500" s="82" t="s">
        <v>1056</v>
      </c>
      <c r="D500" s="82" t="s">
        <v>405</v>
      </c>
      <c r="E500" s="82" t="s">
        <v>890</v>
      </c>
      <c r="F500" s="82" t="s">
        <v>1108</v>
      </c>
      <c r="G500" s="85" t="s">
        <v>1565</v>
      </c>
      <c r="H500" s="85" t="s">
        <v>1115</v>
      </c>
      <c r="I500" s="82" t="s">
        <v>1582</v>
      </c>
      <c r="J500" s="82" t="s">
        <v>1583</v>
      </c>
      <c r="K500" s="82" t="s">
        <v>385</v>
      </c>
      <c r="L500" s="88" t="s">
        <v>310</v>
      </c>
      <c r="M500" s="54">
        <v>46322</v>
      </c>
      <c r="N500" s="55">
        <v>46345</v>
      </c>
    </row>
    <row r="501" spans="2:14" x14ac:dyDescent="0.25">
      <c r="B501" s="79" t="s">
        <v>381</v>
      </c>
      <c r="C501" s="82" t="s">
        <v>1056</v>
      </c>
      <c r="D501" s="82" t="s">
        <v>405</v>
      </c>
      <c r="E501" s="82" t="s">
        <v>890</v>
      </c>
      <c r="F501" s="82" t="s">
        <v>1108</v>
      </c>
      <c r="G501" s="85" t="s">
        <v>1565</v>
      </c>
      <c r="H501" s="85" t="s">
        <v>1118</v>
      </c>
      <c r="I501" s="82" t="s">
        <v>1584</v>
      </c>
      <c r="J501" s="82" t="s">
        <v>1585</v>
      </c>
      <c r="K501" s="82" t="s">
        <v>385</v>
      </c>
      <c r="L501" s="88" t="s">
        <v>310</v>
      </c>
      <c r="M501" s="54">
        <v>46322</v>
      </c>
      <c r="N501" s="55">
        <v>46345</v>
      </c>
    </row>
    <row r="502" spans="2:14" x14ac:dyDescent="0.25">
      <c r="B502" s="79" t="s">
        <v>381</v>
      </c>
      <c r="C502" s="82" t="s">
        <v>1056</v>
      </c>
      <c r="D502" s="82" t="s">
        <v>405</v>
      </c>
      <c r="E502" s="82" t="s">
        <v>890</v>
      </c>
      <c r="F502" s="82" t="s">
        <v>1108</v>
      </c>
      <c r="G502" s="85" t="s">
        <v>1565</v>
      </c>
      <c r="H502" s="85" t="s">
        <v>1121</v>
      </c>
      <c r="I502" s="82" t="s">
        <v>1586</v>
      </c>
      <c r="J502" s="82" t="s">
        <v>1587</v>
      </c>
      <c r="K502" s="82" t="s">
        <v>385</v>
      </c>
      <c r="L502" s="88" t="s">
        <v>310</v>
      </c>
      <c r="M502" s="54">
        <v>46327</v>
      </c>
      <c r="N502" s="55">
        <v>46350</v>
      </c>
    </row>
    <row r="503" spans="2:14" x14ac:dyDescent="0.25">
      <c r="B503" s="79" t="s">
        <v>381</v>
      </c>
      <c r="C503" s="82" t="s">
        <v>1056</v>
      </c>
      <c r="D503" s="82" t="s">
        <v>405</v>
      </c>
      <c r="E503" s="82" t="s">
        <v>890</v>
      </c>
      <c r="F503" s="82" t="s">
        <v>1108</v>
      </c>
      <c r="G503" s="85" t="s">
        <v>900</v>
      </c>
      <c r="H503" s="85" t="s">
        <v>1109</v>
      </c>
      <c r="I503" s="82" t="s">
        <v>1588</v>
      </c>
      <c r="J503" s="82" t="s">
        <v>1589</v>
      </c>
      <c r="K503" s="82" t="s">
        <v>385</v>
      </c>
      <c r="L503" s="88" t="s">
        <v>310</v>
      </c>
      <c r="M503" s="54">
        <v>46361</v>
      </c>
      <c r="N503" s="55">
        <v>46384</v>
      </c>
    </row>
    <row r="504" spans="2:14" x14ac:dyDescent="0.25">
      <c r="B504" s="79" t="s">
        <v>381</v>
      </c>
      <c r="C504" s="82" t="s">
        <v>1056</v>
      </c>
      <c r="D504" s="82" t="s">
        <v>405</v>
      </c>
      <c r="E504" s="82" t="s">
        <v>890</v>
      </c>
      <c r="F504" s="82" t="s">
        <v>1108</v>
      </c>
      <c r="G504" s="85" t="s">
        <v>900</v>
      </c>
      <c r="H504" s="85" t="s">
        <v>1112</v>
      </c>
      <c r="I504" s="82" t="s">
        <v>1590</v>
      </c>
      <c r="J504" s="82" t="s">
        <v>1591</v>
      </c>
      <c r="K504" s="82" t="s">
        <v>385</v>
      </c>
      <c r="L504" s="88" t="s">
        <v>310</v>
      </c>
      <c r="M504" s="54">
        <v>46385</v>
      </c>
      <c r="N504" s="55">
        <v>46408</v>
      </c>
    </row>
    <row r="505" spans="2:14" x14ac:dyDescent="0.25">
      <c r="B505" s="79" t="s">
        <v>381</v>
      </c>
      <c r="C505" s="82" t="s">
        <v>1056</v>
      </c>
      <c r="D505" s="82" t="s">
        <v>405</v>
      </c>
      <c r="E505" s="82" t="s">
        <v>890</v>
      </c>
      <c r="F505" s="82" t="s">
        <v>1108</v>
      </c>
      <c r="G505" s="85" t="s">
        <v>900</v>
      </c>
      <c r="H505" s="85" t="s">
        <v>1115</v>
      </c>
      <c r="I505" s="82" t="s">
        <v>1592</v>
      </c>
      <c r="J505" s="82" t="s">
        <v>1593</v>
      </c>
      <c r="K505" s="82" t="s">
        <v>385</v>
      </c>
      <c r="L505" s="88" t="s">
        <v>310</v>
      </c>
      <c r="M505" s="54">
        <v>46410</v>
      </c>
      <c r="N505" s="55">
        <v>46433</v>
      </c>
    </row>
    <row r="506" spans="2:14" x14ac:dyDescent="0.25">
      <c r="B506" s="79" t="s">
        <v>381</v>
      </c>
      <c r="C506" s="82" t="s">
        <v>1056</v>
      </c>
      <c r="D506" s="82" t="s">
        <v>405</v>
      </c>
      <c r="E506" s="82" t="s">
        <v>890</v>
      </c>
      <c r="F506" s="82" t="s">
        <v>1108</v>
      </c>
      <c r="G506" s="85" t="s">
        <v>900</v>
      </c>
      <c r="H506" s="85" t="s">
        <v>1118</v>
      </c>
      <c r="I506" s="82" t="s">
        <v>1594</v>
      </c>
      <c r="J506" s="82" t="s">
        <v>1595</v>
      </c>
      <c r="K506" s="82" t="s">
        <v>385</v>
      </c>
      <c r="L506" s="88" t="s">
        <v>310</v>
      </c>
      <c r="M506" s="54">
        <v>46434</v>
      </c>
      <c r="N506" s="55">
        <v>46461</v>
      </c>
    </row>
    <row r="507" spans="2:14" x14ac:dyDescent="0.25">
      <c r="B507" s="79" t="s">
        <v>381</v>
      </c>
      <c r="C507" s="82" t="s">
        <v>1056</v>
      </c>
      <c r="D507" s="82" t="s">
        <v>405</v>
      </c>
      <c r="E507" s="82" t="s">
        <v>890</v>
      </c>
      <c r="F507" s="82" t="s">
        <v>1108</v>
      </c>
      <c r="G507" s="85" t="s">
        <v>900</v>
      </c>
      <c r="H507" s="85" t="s">
        <v>1121</v>
      </c>
      <c r="I507" s="82" t="s">
        <v>1596</v>
      </c>
      <c r="J507" s="82" t="s">
        <v>1597</v>
      </c>
      <c r="K507" s="82" t="s">
        <v>385</v>
      </c>
      <c r="L507" s="88" t="s">
        <v>310</v>
      </c>
      <c r="M507" s="54">
        <v>46462</v>
      </c>
      <c r="N507" s="55">
        <v>46485</v>
      </c>
    </row>
    <row r="508" spans="2:14" x14ac:dyDescent="0.25">
      <c r="B508" s="79" t="s">
        <v>381</v>
      </c>
      <c r="C508" s="82" t="s">
        <v>1056</v>
      </c>
      <c r="D508" s="82" t="s">
        <v>405</v>
      </c>
      <c r="E508" s="82" t="s">
        <v>890</v>
      </c>
      <c r="F508" s="82" t="s">
        <v>1108</v>
      </c>
      <c r="G508" s="85" t="s">
        <v>907</v>
      </c>
      <c r="H508" s="85" t="s">
        <v>1109</v>
      </c>
      <c r="I508" s="82" t="s">
        <v>1598</v>
      </c>
      <c r="J508" s="82" t="s">
        <v>1599</v>
      </c>
      <c r="K508" s="82" t="s">
        <v>385</v>
      </c>
      <c r="L508" s="88" t="s">
        <v>310</v>
      </c>
      <c r="M508" s="54">
        <v>46543</v>
      </c>
      <c r="N508" s="55">
        <v>46566</v>
      </c>
    </row>
    <row r="509" spans="2:14" x14ac:dyDescent="0.25">
      <c r="B509" s="79" t="s">
        <v>381</v>
      </c>
      <c r="C509" s="82" t="s">
        <v>1056</v>
      </c>
      <c r="D509" s="82" t="s">
        <v>405</v>
      </c>
      <c r="E509" s="82" t="s">
        <v>890</v>
      </c>
      <c r="F509" s="82" t="s">
        <v>1108</v>
      </c>
      <c r="G509" s="85" t="s">
        <v>907</v>
      </c>
      <c r="H509" s="85" t="s">
        <v>1112</v>
      </c>
      <c r="I509" s="82" t="s">
        <v>1600</v>
      </c>
      <c r="J509" s="82" t="s">
        <v>1601</v>
      </c>
      <c r="K509" s="82" t="s">
        <v>385</v>
      </c>
      <c r="L509" s="88" t="s">
        <v>310</v>
      </c>
      <c r="M509" s="54">
        <v>46567</v>
      </c>
      <c r="N509" s="55">
        <v>46590</v>
      </c>
    </row>
    <row r="510" spans="2:14" x14ac:dyDescent="0.25">
      <c r="B510" s="79" t="s">
        <v>381</v>
      </c>
      <c r="C510" s="82" t="s">
        <v>1056</v>
      </c>
      <c r="D510" s="82" t="s">
        <v>405</v>
      </c>
      <c r="E510" s="82" t="s">
        <v>890</v>
      </c>
      <c r="F510" s="82" t="s">
        <v>1108</v>
      </c>
      <c r="G510" s="85" t="s">
        <v>907</v>
      </c>
      <c r="H510" s="85" t="s">
        <v>1115</v>
      </c>
      <c r="I510" s="82" t="s">
        <v>1602</v>
      </c>
      <c r="J510" s="82" t="s">
        <v>1603</v>
      </c>
      <c r="K510" s="82" t="s">
        <v>385</v>
      </c>
      <c r="L510" s="88" t="s">
        <v>310</v>
      </c>
      <c r="M510" s="54">
        <v>46567</v>
      </c>
      <c r="N510" s="55">
        <v>46590</v>
      </c>
    </row>
    <row r="511" spans="2:14" x14ac:dyDescent="0.25">
      <c r="B511" s="79" t="s">
        <v>381</v>
      </c>
      <c r="C511" s="82" t="s">
        <v>1056</v>
      </c>
      <c r="D511" s="82" t="s">
        <v>405</v>
      </c>
      <c r="E511" s="82" t="s">
        <v>890</v>
      </c>
      <c r="F511" s="82" t="s">
        <v>1108</v>
      </c>
      <c r="G511" s="85" t="s">
        <v>907</v>
      </c>
      <c r="H511" s="85" t="s">
        <v>1118</v>
      </c>
      <c r="I511" s="82" t="s">
        <v>1604</v>
      </c>
      <c r="J511" s="82" t="s">
        <v>1605</v>
      </c>
      <c r="K511" s="82" t="s">
        <v>385</v>
      </c>
      <c r="L511" s="88" t="s">
        <v>310</v>
      </c>
      <c r="M511" s="54">
        <v>46567</v>
      </c>
      <c r="N511" s="55">
        <v>46590</v>
      </c>
    </row>
    <row r="512" spans="2:14" x14ac:dyDescent="0.25">
      <c r="B512" s="79" t="s">
        <v>381</v>
      </c>
      <c r="C512" s="82" t="s">
        <v>1056</v>
      </c>
      <c r="D512" s="82" t="s">
        <v>405</v>
      </c>
      <c r="E512" s="82" t="s">
        <v>890</v>
      </c>
      <c r="F512" s="82" t="s">
        <v>1108</v>
      </c>
      <c r="G512" s="85" t="s">
        <v>907</v>
      </c>
      <c r="H512" s="85" t="s">
        <v>1121</v>
      </c>
      <c r="I512" s="82" t="s">
        <v>1606</v>
      </c>
      <c r="J512" s="82" t="s">
        <v>1607</v>
      </c>
      <c r="K512" s="82" t="s">
        <v>385</v>
      </c>
      <c r="L512" s="88" t="s">
        <v>310</v>
      </c>
      <c r="M512" s="54">
        <v>46567</v>
      </c>
      <c r="N512" s="55">
        <v>46590</v>
      </c>
    </row>
    <row r="513" spans="2:14" x14ac:dyDescent="0.25">
      <c r="B513" s="79" t="s">
        <v>381</v>
      </c>
      <c r="C513" s="82" t="s">
        <v>1056</v>
      </c>
      <c r="D513" s="82" t="s">
        <v>405</v>
      </c>
      <c r="E513" s="82" t="s">
        <v>890</v>
      </c>
      <c r="F513" s="82" t="s">
        <v>1234</v>
      </c>
      <c r="G513" s="85" t="s">
        <v>1109</v>
      </c>
      <c r="H513" s="85" t="s">
        <v>1109</v>
      </c>
      <c r="I513" s="82" t="s">
        <v>1608</v>
      </c>
      <c r="J513" s="82" t="s">
        <v>1609</v>
      </c>
      <c r="K513" s="82" t="s">
        <v>385</v>
      </c>
      <c r="L513" s="88" t="s">
        <v>310</v>
      </c>
      <c r="M513" s="54">
        <v>46581</v>
      </c>
      <c r="N513" s="55">
        <v>46604</v>
      </c>
    </row>
    <row r="514" spans="2:14" x14ac:dyDescent="0.25">
      <c r="B514" s="79" t="s">
        <v>381</v>
      </c>
      <c r="C514" s="82" t="s">
        <v>1056</v>
      </c>
      <c r="D514" s="82" t="s">
        <v>405</v>
      </c>
      <c r="E514" s="82" t="s">
        <v>890</v>
      </c>
      <c r="F514" s="82" t="s">
        <v>1234</v>
      </c>
      <c r="G514" s="85" t="s">
        <v>1238</v>
      </c>
      <c r="H514" s="85" t="s">
        <v>1238</v>
      </c>
      <c r="I514" s="82" t="s">
        <v>1610</v>
      </c>
      <c r="J514" s="82" t="s">
        <v>1611</v>
      </c>
      <c r="K514" s="82" t="s">
        <v>385</v>
      </c>
      <c r="L514" s="88" t="s">
        <v>310</v>
      </c>
      <c r="M514" s="54">
        <v>46606</v>
      </c>
      <c r="N514" s="55">
        <v>46629</v>
      </c>
    </row>
    <row r="515" spans="2:14" x14ac:dyDescent="0.25">
      <c r="B515" s="79" t="s">
        <v>381</v>
      </c>
      <c r="C515" s="82" t="s">
        <v>1056</v>
      </c>
      <c r="D515" s="82" t="s">
        <v>405</v>
      </c>
      <c r="E515" s="82" t="s">
        <v>890</v>
      </c>
      <c r="F515" s="82" t="s">
        <v>1234</v>
      </c>
      <c r="G515" s="85" t="s">
        <v>1241</v>
      </c>
      <c r="H515" s="85" t="s">
        <v>1241</v>
      </c>
      <c r="I515" s="82" t="s">
        <v>1612</v>
      </c>
      <c r="J515" s="82" t="s">
        <v>1613</v>
      </c>
      <c r="K515" s="82" t="s">
        <v>385</v>
      </c>
      <c r="L515" s="88" t="s">
        <v>313</v>
      </c>
      <c r="M515" s="54">
        <v>46630</v>
      </c>
      <c r="N515" s="55">
        <v>46658</v>
      </c>
    </row>
    <row r="516" spans="2:14" x14ac:dyDescent="0.25">
      <c r="B516" s="79" t="s">
        <v>381</v>
      </c>
      <c r="C516" s="82" t="s">
        <v>1056</v>
      </c>
      <c r="D516" s="82" t="s">
        <v>405</v>
      </c>
      <c r="E516" s="82" t="s">
        <v>890</v>
      </c>
      <c r="F516" s="82" t="s">
        <v>1234</v>
      </c>
      <c r="G516" s="85" t="s">
        <v>1244</v>
      </c>
      <c r="H516" s="85" t="s">
        <v>1244</v>
      </c>
      <c r="I516" s="82" t="s">
        <v>1614</v>
      </c>
      <c r="J516" s="82" t="s">
        <v>1615</v>
      </c>
      <c r="K516" s="82" t="s">
        <v>385</v>
      </c>
      <c r="L516" s="88" t="s">
        <v>310</v>
      </c>
      <c r="M516" s="54">
        <v>46659</v>
      </c>
      <c r="N516" s="55">
        <v>46683</v>
      </c>
    </row>
    <row r="517" spans="2:14" x14ac:dyDescent="0.25">
      <c r="B517" s="79" t="s">
        <v>381</v>
      </c>
      <c r="C517" s="82" t="s">
        <v>1056</v>
      </c>
      <c r="D517" s="82" t="s">
        <v>405</v>
      </c>
      <c r="E517" s="82" t="s">
        <v>890</v>
      </c>
      <c r="F517" s="82" t="s">
        <v>1247</v>
      </c>
      <c r="G517" s="85" t="s">
        <v>1248</v>
      </c>
      <c r="H517" s="85" t="s">
        <v>1248</v>
      </c>
      <c r="I517" s="82" t="s">
        <v>1616</v>
      </c>
      <c r="J517" s="82" t="s">
        <v>1617</v>
      </c>
      <c r="K517" s="82" t="s">
        <v>385</v>
      </c>
      <c r="L517" s="88" t="s">
        <v>313</v>
      </c>
      <c r="M517" s="54">
        <v>46630</v>
      </c>
      <c r="N517" s="55">
        <v>46658</v>
      </c>
    </row>
    <row r="518" spans="2:14" x14ac:dyDescent="0.25">
      <c r="B518" s="79" t="s">
        <v>381</v>
      </c>
      <c r="C518" s="82" t="s">
        <v>1056</v>
      </c>
      <c r="D518" s="82" t="s">
        <v>405</v>
      </c>
      <c r="E518" s="82" t="s">
        <v>890</v>
      </c>
      <c r="F518" s="82" t="s">
        <v>1247</v>
      </c>
      <c r="G518" s="85" t="s">
        <v>1251</v>
      </c>
      <c r="H518" s="85" t="s">
        <v>1251</v>
      </c>
      <c r="I518" s="82" t="s">
        <v>1618</v>
      </c>
      <c r="J518" s="82" t="s">
        <v>1619</v>
      </c>
      <c r="K518" s="82" t="s">
        <v>385</v>
      </c>
      <c r="L518" s="88" t="s">
        <v>313</v>
      </c>
      <c r="M518" s="54">
        <v>46698</v>
      </c>
      <c r="N518" s="55">
        <v>46725</v>
      </c>
    </row>
    <row r="519" spans="2:14" x14ac:dyDescent="0.25">
      <c r="B519" s="79" t="s">
        <v>381</v>
      </c>
      <c r="C519" s="82" t="s">
        <v>1056</v>
      </c>
      <c r="D519" s="82" t="s">
        <v>405</v>
      </c>
      <c r="E519" s="82" t="s">
        <v>890</v>
      </c>
      <c r="F519" s="82" t="s">
        <v>1247</v>
      </c>
      <c r="G519" s="85" t="s">
        <v>1254</v>
      </c>
      <c r="H519" s="85" t="s">
        <v>1254</v>
      </c>
      <c r="I519" s="82" t="s">
        <v>1620</v>
      </c>
      <c r="J519" s="82" t="s">
        <v>1621</v>
      </c>
      <c r="K519" s="82" t="s">
        <v>385</v>
      </c>
      <c r="L519" s="88" t="s">
        <v>310</v>
      </c>
      <c r="M519" s="54">
        <v>46726</v>
      </c>
      <c r="N519" s="55">
        <v>46749</v>
      </c>
    </row>
    <row r="520" spans="2:14" x14ac:dyDescent="0.25">
      <c r="B520" s="79" t="s">
        <v>381</v>
      </c>
      <c r="C520" s="82" t="s">
        <v>1056</v>
      </c>
      <c r="D520" s="82" t="s">
        <v>405</v>
      </c>
      <c r="E520" s="82" t="s">
        <v>890</v>
      </c>
      <c r="F520" s="82" t="s">
        <v>1247</v>
      </c>
      <c r="G520" s="85" t="s">
        <v>1257</v>
      </c>
      <c r="H520" s="85" t="s">
        <v>1257</v>
      </c>
      <c r="I520" s="82" t="s">
        <v>1622</v>
      </c>
      <c r="J520" s="82" t="s">
        <v>1623</v>
      </c>
      <c r="K520" s="82" t="s">
        <v>385</v>
      </c>
      <c r="L520" s="88" t="s">
        <v>310</v>
      </c>
      <c r="M520" s="54">
        <v>46764</v>
      </c>
      <c r="N520" s="55">
        <v>46788</v>
      </c>
    </row>
    <row r="521" spans="2:14" x14ac:dyDescent="0.25">
      <c r="B521" s="79" t="s">
        <v>381</v>
      </c>
      <c r="C521" s="82" t="s">
        <v>1056</v>
      </c>
      <c r="D521" s="82" t="s">
        <v>405</v>
      </c>
      <c r="E521" s="82" t="s">
        <v>890</v>
      </c>
      <c r="F521" s="82" t="s">
        <v>1247</v>
      </c>
      <c r="G521" s="85" t="s">
        <v>1260</v>
      </c>
      <c r="H521" s="85" t="s">
        <v>1260</v>
      </c>
      <c r="I521" s="82" t="s">
        <v>1624</v>
      </c>
      <c r="J521" s="82" t="s">
        <v>1625</v>
      </c>
      <c r="K521" s="82" t="s">
        <v>385</v>
      </c>
      <c r="L521" s="88" t="s">
        <v>313</v>
      </c>
      <c r="M521" s="54">
        <v>46698</v>
      </c>
      <c r="N521" s="55">
        <v>46725</v>
      </c>
    </row>
    <row r="522" spans="2:14" x14ac:dyDescent="0.25">
      <c r="B522" s="79" t="s">
        <v>381</v>
      </c>
      <c r="C522" s="82" t="s">
        <v>1056</v>
      </c>
      <c r="D522" s="82" t="s">
        <v>405</v>
      </c>
      <c r="E522" s="82" t="s">
        <v>890</v>
      </c>
      <c r="F522" s="82" t="s">
        <v>1247</v>
      </c>
      <c r="G522" s="85" t="s">
        <v>1266</v>
      </c>
      <c r="H522" s="85" t="s">
        <v>1266</v>
      </c>
      <c r="I522" s="82" t="s">
        <v>1626</v>
      </c>
      <c r="J522" s="82" t="s">
        <v>1627</v>
      </c>
      <c r="K522" s="82" t="s">
        <v>385</v>
      </c>
      <c r="L522" s="88" t="s">
        <v>313</v>
      </c>
      <c r="M522" s="54">
        <v>46698</v>
      </c>
      <c r="N522" s="55">
        <v>46725</v>
      </c>
    </row>
    <row r="523" spans="2:14" x14ac:dyDescent="0.25">
      <c r="B523" s="79" t="s">
        <v>381</v>
      </c>
      <c r="C523" s="82" t="s">
        <v>1056</v>
      </c>
      <c r="D523" s="82" t="s">
        <v>405</v>
      </c>
      <c r="E523" s="82" t="s">
        <v>890</v>
      </c>
      <c r="F523" s="82" t="s">
        <v>1269</v>
      </c>
      <c r="G523" s="85" t="s">
        <v>1294</v>
      </c>
      <c r="H523" s="85" t="s">
        <v>1294</v>
      </c>
      <c r="I523" s="82" t="s">
        <v>1628</v>
      </c>
      <c r="J523" s="82" t="s">
        <v>1629</v>
      </c>
      <c r="K523" s="82" t="s">
        <v>385</v>
      </c>
      <c r="L523" s="88" t="s">
        <v>214</v>
      </c>
      <c r="M523" s="54">
        <v>46814</v>
      </c>
      <c r="N523" s="55">
        <v>46830</v>
      </c>
    </row>
    <row r="524" spans="2:14" x14ac:dyDescent="0.25">
      <c r="B524" s="79" t="s">
        <v>381</v>
      </c>
      <c r="C524" s="82" t="s">
        <v>1056</v>
      </c>
      <c r="D524" s="82" t="s">
        <v>405</v>
      </c>
      <c r="E524" s="82" t="s">
        <v>890</v>
      </c>
      <c r="F524" s="82" t="s">
        <v>1269</v>
      </c>
      <c r="G524" s="85" t="s">
        <v>1294</v>
      </c>
      <c r="H524" s="85" t="s">
        <v>1437</v>
      </c>
      <c r="I524" s="82" t="s">
        <v>1630</v>
      </c>
      <c r="J524" s="82" t="s">
        <v>1631</v>
      </c>
      <c r="K524" s="82" t="s">
        <v>385</v>
      </c>
      <c r="L524" s="88" t="s">
        <v>214</v>
      </c>
      <c r="M524" s="54">
        <v>46814</v>
      </c>
      <c r="N524" s="55">
        <v>46830</v>
      </c>
    </row>
    <row r="525" spans="2:14" x14ac:dyDescent="0.25">
      <c r="B525" s="79" t="s">
        <v>381</v>
      </c>
      <c r="C525" s="82" t="s">
        <v>1056</v>
      </c>
      <c r="D525" s="82" t="s">
        <v>405</v>
      </c>
      <c r="E525" s="82" t="s">
        <v>890</v>
      </c>
      <c r="F525" s="82" t="s">
        <v>1269</v>
      </c>
      <c r="G525" s="85" t="s">
        <v>1286</v>
      </c>
      <c r="H525" s="85" t="s">
        <v>1286</v>
      </c>
      <c r="I525" s="82" t="s">
        <v>1632</v>
      </c>
      <c r="J525" s="82" t="s">
        <v>1633</v>
      </c>
      <c r="K525" s="82" t="s">
        <v>385</v>
      </c>
      <c r="L525" s="88" t="s">
        <v>214</v>
      </c>
      <c r="M525" s="54">
        <v>46845</v>
      </c>
      <c r="N525" s="55">
        <v>46860</v>
      </c>
    </row>
    <row r="526" spans="2:14" x14ac:dyDescent="0.25">
      <c r="B526" s="79" t="s">
        <v>381</v>
      </c>
      <c r="C526" s="82" t="s">
        <v>1056</v>
      </c>
      <c r="D526" s="82" t="s">
        <v>405</v>
      </c>
      <c r="E526" s="82" t="s">
        <v>914</v>
      </c>
      <c r="F526" s="82" t="s">
        <v>1057</v>
      </c>
      <c r="G526" s="85" t="s">
        <v>915</v>
      </c>
      <c r="H526" s="85" t="s">
        <v>1058</v>
      </c>
      <c r="I526" s="82" t="s">
        <v>1634</v>
      </c>
      <c r="J526" s="82" t="s">
        <v>1635</v>
      </c>
      <c r="K526" s="82" t="s">
        <v>385</v>
      </c>
      <c r="L526" s="88" t="s">
        <v>317</v>
      </c>
      <c r="M526" s="54">
        <v>46151</v>
      </c>
      <c r="N526" s="55">
        <v>46186</v>
      </c>
    </row>
    <row r="527" spans="2:14" x14ac:dyDescent="0.25">
      <c r="B527" s="79" t="s">
        <v>381</v>
      </c>
      <c r="C527" s="82" t="s">
        <v>1056</v>
      </c>
      <c r="D527" s="82" t="s">
        <v>405</v>
      </c>
      <c r="E527" s="82" t="s">
        <v>914</v>
      </c>
      <c r="F527" s="82" t="s">
        <v>1057</v>
      </c>
      <c r="G527" s="85" t="s">
        <v>915</v>
      </c>
      <c r="H527" s="85" t="s">
        <v>1061</v>
      </c>
      <c r="I527" s="82" t="s">
        <v>1636</v>
      </c>
      <c r="J527" s="82" t="s">
        <v>1637</v>
      </c>
      <c r="K527" s="82" t="s">
        <v>385</v>
      </c>
      <c r="L527" s="88" t="s">
        <v>317</v>
      </c>
      <c r="M527" s="54">
        <v>46151</v>
      </c>
      <c r="N527" s="55">
        <v>46186</v>
      </c>
    </row>
    <row r="528" spans="2:14" x14ac:dyDescent="0.25">
      <c r="B528" s="79" t="s">
        <v>381</v>
      </c>
      <c r="C528" s="82" t="s">
        <v>1056</v>
      </c>
      <c r="D528" s="82" t="s">
        <v>405</v>
      </c>
      <c r="E528" s="82" t="s">
        <v>914</v>
      </c>
      <c r="F528" s="82" t="s">
        <v>1057</v>
      </c>
      <c r="G528" s="85" t="s">
        <v>922</v>
      </c>
      <c r="H528" s="85" t="s">
        <v>1058</v>
      </c>
      <c r="I528" s="82" t="s">
        <v>1638</v>
      </c>
      <c r="J528" s="82" t="s">
        <v>1639</v>
      </c>
      <c r="K528" s="82" t="s">
        <v>385</v>
      </c>
      <c r="L528" s="88" t="s">
        <v>317</v>
      </c>
      <c r="M528" s="54">
        <v>46230</v>
      </c>
      <c r="N528" s="55">
        <v>46261</v>
      </c>
    </row>
    <row r="529" spans="2:14" x14ac:dyDescent="0.25">
      <c r="B529" s="79" t="s">
        <v>381</v>
      </c>
      <c r="C529" s="82" t="s">
        <v>1056</v>
      </c>
      <c r="D529" s="82" t="s">
        <v>405</v>
      </c>
      <c r="E529" s="82" t="s">
        <v>914</v>
      </c>
      <c r="F529" s="82" t="s">
        <v>1057</v>
      </c>
      <c r="G529" s="85" t="s">
        <v>922</v>
      </c>
      <c r="H529" s="85" t="s">
        <v>1061</v>
      </c>
      <c r="I529" s="82" t="s">
        <v>1640</v>
      </c>
      <c r="J529" s="82" t="s">
        <v>1641</v>
      </c>
      <c r="K529" s="82" t="s">
        <v>385</v>
      </c>
      <c r="L529" s="88" t="s">
        <v>317</v>
      </c>
      <c r="M529" s="54">
        <v>46230</v>
      </c>
      <c r="N529" s="55">
        <v>46261</v>
      </c>
    </row>
    <row r="530" spans="2:14" x14ac:dyDescent="0.25">
      <c r="B530" s="79" t="s">
        <v>381</v>
      </c>
      <c r="C530" s="82" t="s">
        <v>1056</v>
      </c>
      <c r="D530" s="82" t="s">
        <v>405</v>
      </c>
      <c r="E530" s="82" t="s">
        <v>914</v>
      </c>
      <c r="F530" s="82" t="s">
        <v>1057</v>
      </c>
      <c r="G530" s="85" t="s">
        <v>1642</v>
      </c>
      <c r="H530" s="85" t="s">
        <v>1058</v>
      </c>
      <c r="I530" s="82" t="s">
        <v>1643</v>
      </c>
      <c r="J530" s="82" t="s">
        <v>1644</v>
      </c>
      <c r="K530" s="82" t="s">
        <v>385</v>
      </c>
      <c r="L530" s="88" t="s">
        <v>317</v>
      </c>
      <c r="M530" s="54">
        <v>46277</v>
      </c>
      <c r="N530" s="55">
        <v>46309</v>
      </c>
    </row>
    <row r="531" spans="2:14" x14ac:dyDescent="0.25">
      <c r="B531" s="79" t="s">
        <v>381</v>
      </c>
      <c r="C531" s="82" t="s">
        <v>1056</v>
      </c>
      <c r="D531" s="82" t="s">
        <v>405</v>
      </c>
      <c r="E531" s="82" t="s">
        <v>914</v>
      </c>
      <c r="F531" s="82" t="s">
        <v>1057</v>
      </c>
      <c r="G531" s="85" t="s">
        <v>1642</v>
      </c>
      <c r="H531" s="85" t="s">
        <v>1061</v>
      </c>
      <c r="I531" s="82" t="s">
        <v>1645</v>
      </c>
      <c r="J531" s="82" t="s">
        <v>1646</v>
      </c>
      <c r="K531" s="82" t="s">
        <v>385</v>
      </c>
      <c r="L531" s="88" t="s">
        <v>317</v>
      </c>
      <c r="M531" s="54">
        <v>46277</v>
      </c>
      <c r="N531" s="55">
        <v>46309</v>
      </c>
    </row>
    <row r="532" spans="2:14" x14ac:dyDescent="0.25">
      <c r="B532" s="79" t="s">
        <v>381</v>
      </c>
      <c r="C532" s="82" t="s">
        <v>1056</v>
      </c>
      <c r="D532" s="82" t="s">
        <v>405</v>
      </c>
      <c r="E532" s="82" t="s">
        <v>914</v>
      </c>
      <c r="F532" s="82" t="s">
        <v>1108</v>
      </c>
      <c r="G532" s="85" t="s">
        <v>915</v>
      </c>
      <c r="H532" s="85" t="s">
        <v>1109</v>
      </c>
      <c r="I532" s="82" t="s">
        <v>1647</v>
      </c>
      <c r="J532" s="82" t="s">
        <v>1648</v>
      </c>
      <c r="K532" s="82" t="s">
        <v>385</v>
      </c>
      <c r="L532" s="88" t="s">
        <v>310</v>
      </c>
      <c r="M532" s="54">
        <v>46324</v>
      </c>
      <c r="N532" s="55">
        <v>46348</v>
      </c>
    </row>
    <row r="533" spans="2:14" x14ac:dyDescent="0.25">
      <c r="B533" s="79" t="s">
        <v>381</v>
      </c>
      <c r="C533" s="82" t="s">
        <v>1056</v>
      </c>
      <c r="D533" s="82" t="s">
        <v>405</v>
      </c>
      <c r="E533" s="82" t="s">
        <v>914</v>
      </c>
      <c r="F533" s="82" t="s">
        <v>1108</v>
      </c>
      <c r="G533" s="85" t="s">
        <v>915</v>
      </c>
      <c r="H533" s="85" t="s">
        <v>1112</v>
      </c>
      <c r="I533" s="82" t="s">
        <v>1649</v>
      </c>
      <c r="J533" s="82" t="s">
        <v>1650</v>
      </c>
      <c r="K533" s="82" t="s">
        <v>385</v>
      </c>
      <c r="L533" s="88" t="s">
        <v>310</v>
      </c>
      <c r="M533" s="54">
        <v>46347</v>
      </c>
      <c r="N533" s="55">
        <v>46370</v>
      </c>
    </row>
    <row r="534" spans="2:14" x14ac:dyDescent="0.25">
      <c r="B534" s="79" t="s">
        <v>381</v>
      </c>
      <c r="C534" s="82" t="s">
        <v>1056</v>
      </c>
      <c r="D534" s="82" t="s">
        <v>405</v>
      </c>
      <c r="E534" s="82" t="s">
        <v>914</v>
      </c>
      <c r="F534" s="82" t="s">
        <v>1108</v>
      </c>
      <c r="G534" s="85" t="s">
        <v>915</v>
      </c>
      <c r="H534" s="85" t="s">
        <v>1115</v>
      </c>
      <c r="I534" s="82" t="s">
        <v>1651</v>
      </c>
      <c r="J534" s="82" t="s">
        <v>1652</v>
      </c>
      <c r="K534" s="82" t="s">
        <v>385</v>
      </c>
      <c r="L534" s="88" t="s">
        <v>310</v>
      </c>
      <c r="M534" s="54">
        <v>46347</v>
      </c>
      <c r="N534" s="55">
        <v>46370</v>
      </c>
    </row>
    <row r="535" spans="2:14" x14ac:dyDescent="0.25">
      <c r="B535" s="79" t="s">
        <v>381</v>
      </c>
      <c r="C535" s="82" t="s">
        <v>1056</v>
      </c>
      <c r="D535" s="82" t="s">
        <v>405</v>
      </c>
      <c r="E535" s="82" t="s">
        <v>914</v>
      </c>
      <c r="F535" s="82" t="s">
        <v>1108</v>
      </c>
      <c r="G535" s="85" t="s">
        <v>915</v>
      </c>
      <c r="H535" s="85" t="s">
        <v>1118</v>
      </c>
      <c r="I535" s="82" t="s">
        <v>1653</v>
      </c>
      <c r="J535" s="82" t="s">
        <v>1654</v>
      </c>
      <c r="K535" s="82" t="s">
        <v>385</v>
      </c>
      <c r="L535" s="88" t="s">
        <v>310</v>
      </c>
      <c r="M535" s="54">
        <v>46347</v>
      </c>
      <c r="N535" s="55">
        <v>46370</v>
      </c>
    </row>
    <row r="536" spans="2:14" x14ac:dyDescent="0.25">
      <c r="B536" s="79" t="s">
        <v>381</v>
      </c>
      <c r="C536" s="82" t="s">
        <v>1056</v>
      </c>
      <c r="D536" s="82" t="s">
        <v>405</v>
      </c>
      <c r="E536" s="82" t="s">
        <v>914</v>
      </c>
      <c r="F536" s="82" t="s">
        <v>1108</v>
      </c>
      <c r="G536" s="85" t="s">
        <v>915</v>
      </c>
      <c r="H536" s="85" t="s">
        <v>1121</v>
      </c>
      <c r="I536" s="82" t="s">
        <v>1655</v>
      </c>
      <c r="J536" s="82" t="s">
        <v>1656</v>
      </c>
      <c r="K536" s="82" t="s">
        <v>385</v>
      </c>
      <c r="L536" s="88" t="s">
        <v>310</v>
      </c>
      <c r="M536" s="54">
        <v>46351</v>
      </c>
      <c r="N536" s="55">
        <v>46375</v>
      </c>
    </row>
    <row r="537" spans="2:14" x14ac:dyDescent="0.25">
      <c r="B537" s="79" t="s">
        <v>381</v>
      </c>
      <c r="C537" s="82" t="s">
        <v>1056</v>
      </c>
      <c r="D537" s="82" t="s">
        <v>405</v>
      </c>
      <c r="E537" s="82" t="s">
        <v>914</v>
      </c>
      <c r="F537" s="82" t="s">
        <v>1108</v>
      </c>
      <c r="G537" s="85" t="s">
        <v>922</v>
      </c>
      <c r="H537" s="85" t="s">
        <v>1109</v>
      </c>
      <c r="I537" s="82" t="s">
        <v>1657</v>
      </c>
      <c r="J537" s="82" t="s">
        <v>1658</v>
      </c>
      <c r="K537" s="82" t="s">
        <v>385</v>
      </c>
      <c r="L537" s="88" t="s">
        <v>310</v>
      </c>
      <c r="M537" s="54">
        <v>46385</v>
      </c>
      <c r="N537" s="55">
        <v>46408</v>
      </c>
    </row>
    <row r="538" spans="2:14" x14ac:dyDescent="0.25">
      <c r="B538" s="79" t="s">
        <v>381</v>
      </c>
      <c r="C538" s="82" t="s">
        <v>1056</v>
      </c>
      <c r="D538" s="82" t="s">
        <v>405</v>
      </c>
      <c r="E538" s="82" t="s">
        <v>914</v>
      </c>
      <c r="F538" s="82" t="s">
        <v>1108</v>
      </c>
      <c r="G538" s="85" t="s">
        <v>922</v>
      </c>
      <c r="H538" s="85" t="s">
        <v>1112</v>
      </c>
      <c r="I538" s="82" t="s">
        <v>1659</v>
      </c>
      <c r="J538" s="82" t="s">
        <v>1660</v>
      </c>
      <c r="K538" s="82" t="s">
        <v>385</v>
      </c>
      <c r="L538" s="88" t="s">
        <v>310</v>
      </c>
      <c r="M538" s="54">
        <v>46410</v>
      </c>
      <c r="N538" s="55">
        <v>46433</v>
      </c>
    </row>
    <row r="539" spans="2:14" x14ac:dyDescent="0.25">
      <c r="B539" s="79" t="s">
        <v>381</v>
      </c>
      <c r="C539" s="82" t="s">
        <v>1056</v>
      </c>
      <c r="D539" s="82" t="s">
        <v>405</v>
      </c>
      <c r="E539" s="82" t="s">
        <v>914</v>
      </c>
      <c r="F539" s="82" t="s">
        <v>1108</v>
      </c>
      <c r="G539" s="85" t="s">
        <v>922</v>
      </c>
      <c r="H539" s="85" t="s">
        <v>1115</v>
      </c>
      <c r="I539" s="82" t="s">
        <v>1661</v>
      </c>
      <c r="J539" s="82" t="s">
        <v>1662</v>
      </c>
      <c r="K539" s="82" t="s">
        <v>385</v>
      </c>
      <c r="L539" s="88" t="s">
        <v>310</v>
      </c>
      <c r="M539" s="54">
        <v>46434</v>
      </c>
      <c r="N539" s="55">
        <v>46461</v>
      </c>
    </row>
    <row r="540" spans="2:14" x14ac:dyDescent="0.25">
      <c r="B540" s="79" t="s">
        <v>381</v>
      </c>
      <c r="C540" s="82" t="s">
        <v>1056</v>
      </c>
      <c r="D540" s="82" t="s">
        <v>405</v>
      </c>
      <c r="E540" s="82" t="s">
        <v>914</v>
      </c>
      <c r="F540" s="82" t="s">
        <v>1108</v>
      </c>
      <c r="G540" s="85" t="s">
        <v>922</v>
      </c>
      <c r="H540" s="85" t="s">
        <v>1118</v>
      </c>
      <c r="I540" s="82" t="s">
        <v>1663</v>
      </c>
      <c r="J540" s="82" t="s">
        <v>1664</v>
      </c>
      <c r="K540" s="82" t="s">
        <v>385</v>
      </c>
      <c r="L540" s="88" t="s">
        <v>310</v>
      </c>
      <c r="M540" s="54">
        <v>46462</v>
      </c>
      <c r="N540" s="55">
        <v>46485</v>
      </c>
    </row>
    <row r="541" spans="2:14" x14ac:dyDescent="0.25">
      <c r="B541" s="79" t="s">
        <v>381</v>
      </c>
      <c r="C541" s="82" t="s">
        <v>1056</v>
      </c>
      <c r="D541" s="82" t="s">
        <v>405</v>
      </c>
      <c r="E541" s="82" t="s">
        <v>914</v>
      </c>
      <c r="F541" s="82" t="s">
        <v>1108</v>
      </c>
      <c r="G541" s="85" t="s">
        <v>922</v>
      </c>
      <c r="H541" s="85" t="s">
        <v>1121</v>
      </c>
      <c r="I541" s="82" t="s">
        <v>1665</v>
      </c>
      <c r="J541" s="82" t="s">
        <v>1666</v>
      </c>
      <c r="K541" s="82" t="s">
        <v>385</v>
      </c>
      <c r="L541" s="88" t="s">
        <v>310</v>
      </c>
      <c r="M541" s="54">
        <v>46487</v>
      </c>
      <c r="N541" s="55">
        <v>46510</v>
      </c>
    </row>
    <row r="542" spans="2:14" x14ac:dyDescent="0.25">
      <c r="B542" s="79" t="s">
        <v>381</v>
      </c>
      <c r="C542" s="82" t="s">
        <v>1056</v>
      </c>
      <c r="D542" s="82" t="s">
        <v>405</v>
      </c>
      <c r="E542" s="82" t="s">
        <v>914</v>
      </c>
      <c r="F542" s="82" t="s">
        <v>1108</v>
      </c>
      <c r="G542" s="85" t="s">
        <v>1642</v>
      </c>
      <c r="H542" s="85" t="s">
        <v>1109</v>
      </c>
      <c r="I542" s="82" t="s">
        <v>1667</v>
      </c>
      <c r="J542" s="82" t="s">
        <v>1668</v>
      </c>
      <c r="K542" s="82" t="s">
        <v>385</v>
      </c>
      <c r="L542" s="88" t="s">
        <v>310</v>
      </c>
      <c r="M542" s="54">
        <v>46543</v>
      </c>
      <c r="N542" s="55">
        <v>46566</v>
      </c>
    </row>
    <row r="543" spans="2:14" x14ac:dyDescent="0.25">
      <c r="B543" s="79" t="s">
        <v>381</v>
      </c>
      <c r="C543" s="82" t="s">
        <v>1056</v>
      </c>
      <c r="D543" s="82" t="s">
        <v>405</v>
      </c>
      <c r="E543" s="82" t="s">
        <v>914</v>
      </c>
      <c r="F543" s="82" t="s">
        <v>1108</v>
      </c>
      <c r="G543" s="85" t="s">
        <v>1642</v>
      </c>
      <c r="H543" s="85" t="s">
        <v>1112</v>
      </c>
      <c r="I543" s="82" t="s">
        <v>1669</v>
      </c>
      <c r="J543" s="82" t="s">
        <v>1670</v>
      </c>
      <c r="K543" s="82" t="s">
        <v>385</v>
      </c>
      <c r="L543" s="88" t="s">
        <v>310</v>
      </c>
      <c r="M543" s="54">
        <v>46543</v>
      </c>
      <c r="N543" s="55">
        <v>46566</v>
      </c>
    </row>
    <row r="544" spans="2:14" x14ac:dyDescent="0.25">
      <c r="B544" s="79" t="s">
        <v>381</v>
      </c>
      <c r="C544" s="82" t="s">
        <v>1056</v>
      </c>
      <c r="D544" s="82" t="s">
        <v>405</v>
      </c>
      <c r="E544" s="82" t="s">
        <v>914</v>
      </c>
      <c r="F544" s="82" t="s">
        <v>1108</v>
      </c>
      <c r="G544" s="85" t="s">
        <v>1642</v>
      </c>
      <c r="H544" s="85" t="s">
        <v>1115</v>
      </c>
      <c r="I544" s="82" t="s">
        <v>1671</v>
      </c>
      <c r="J544" s="82" t="s">
        <v>1672</v>
      </c>
      <c r="K544" s="82" t="s">
        <v>385</v>
      </c>
      <c r="L544" s="88" t="s">
        <v>310</v>
      </c>
      <c r="M544" s="54">
        <v>46543</v>
      </c>
      <c r="N544" s="55">
        <v>46566</v>
      </c>
    </row>
    <row r="545" spans="2:14" x14ac:dyDescent="0.25">
      <c r="B545" s="79" t="s">
        <v>381</v>
      </c>
      <c r="C545" s="82" t="s">
        <v>1056</v>
      </c>
      <c r="D545" s="82" t="s">
        <v>405</v>
      </c>
      <c r="E545" s="82" t="s">
        <v>914</v>
      </c>
      <c r="F545" s="82" t="s">
        <v>1108</v>
      </c>
      <c r="G545" s="85" t="s">
        <v>1642</v>
      </c>
      <c r="H545" s="85" t="s">
        <v>1118</v>
      </c>
      <c r="I545" s="82" t="s">
        <v>1673</v>
      </c>
      <c r="J545" s="82" t="s">
        <v>1674</v>
      </c>
      <c r="K545" s="82" t="s">
        <v>385</v>
      </c>
      <c r="L545" s="88" t="s">
        <v>310</v>
      </c>
      <c r="M545" s="54">
        <v>46543</v>
      </c>
      <c r="N545" s="55">
        <v>46566</v>
      </c>
    </row>
    <row r="546" spans="2:14" x14ac:dyDescent="0.25">
      <c r="B546" s="79" t="s">
        <v>381</v>
      </c>
      <c r="C546" s="82" t="s">
        <v>1056</v>
      </c>
      <c r="D546" s="82" t="s">
        <v>405</v>
      </c>
      <c r="E546" s="82" t="s">
        <v>914</v>
      </c>
      <c r="F546" s="82" t="s">
        <v>1108</v>
      </c>
      <c r="G546" s="85" t="s">
        <v>1642</v>
      </c>
      <c r="H546" s="85" t="s">
        <v>1121</v>
      </c>
      <c r="I546" s="82" t="s">
        <v>1675</v>
      </c>
      <c r="J546" s="82" t="s">
        <v>1676</v>
      </c>
      <c r="K546" s="82" t="s">
        <v>385</v>
      </c>
      <c r="L546" s="88" t="s">
        <v>310</v>
      </c>
      <c r="M546" s="54">
        <v>46543</v>
      </c>
      <c r="N546" s="55">
        <v>46566</v>
      </c>
    </row>
    <row r="547" spans="2:14" x14ac:dyDescent="0.25">
      <c r="B547" s="79" t="s">
        <v>381</v>
      </c>
      <c r="C547" s="82" t="s">
        <v>1056</v>
      </c>
      <c r="D547" s="82" t="s">
        <v>405</v>
      </c>
      <c r="E547" s="82" t="s">
        <v>914</v>
      </c>
      <c r="F547" s="82" t="s">
        <v>1234</v>
      </c>
      <c r="G547" s="85" t="s">
        <v>1109</v>
      </c>
      <c r="H547" s="85" t="s">
        <v>1109</v>
      </c>
      <c r="I547" s="82" t="s">
        <v>1677</v>
      </c>
      <c r="J547" s="82" t="s">
        <v>1678</v>
      </c>
      <c r="K547" s="82" t="s">
        <v>385</v>
      </c>
      <c r="L547" s="88" t="s">
        <v>310</v>
      </c>
      <c r="M547" s="54">
        <v>46581</v>
      </c>
      <c r="N547" s="55">
        <v>46604</v>
      </c>
    </row>
    <row r="548" spans="2:14" x14ac:dyDescent="0.25">
      <c r="B548" s="79" t="s">
        <v>381</v>
      </c>
      <c r="C548" s="82" t="s">
        <v>1056</v>
      </c>
      <c r="D548" s="82" t="s">
        <v>405</v>
      </c>
      <c r="E548" s="82" t="s">
        <v>914</v>
      </c>
      <c r="F548" s="82" t="s">
        <v>1234</v>
      </c>
      <c r="G548" s="85" t="s">
        <v>1238</v>
      </c>
      <c r="H548" s="85" t="s">
        <v>1238</v>
      </c>
      <c r="I548" s="82" t="s">
        <v>1679</v>
      </c>
      <c r="J548" s="82" t="s">
        <v>1680</v>
      </c>
      <c r="K548" s="82" t="s">
        <v>385</v>
      </c>
      <c r="L548" s="88" t="s">
        <v>310</v>
      </c>
      <c r="M548" s="54">
        <v>46620</v>
      </c>
      <c r="N548" s="55">
        <v>46643</v>
      </c>
    </row>
    <row r="549" spans="2:14" x14ac:dyDescent="0.25">
      <c r="B549" s="79" t="s">
        <v>381</v>
      </c>
      <c r="C549" s="82" t="s">
        <v>1056</v>
      </c>
      <c r="D549" s="82" t="s">
        <v>405</v>
      </c>
      <c r="E549" s="82" t="s">
        <v>914</v>
      </c>
      <c r="F549" s="82" t="s">
        <v>1234</v>
      </c>
      <c r="G549" s="85" t="s">
        <v>1241</v>
      </c>
      <c r="H549" s="85" t="s">
        <v>1241</v>
      </c>
      <c r="I549" s="82" t="s">
        <v>1681</v>
      </c>
      <c r="J549" s="82" t="s">
        <v>1682</v>
      </c>
      <c r="K549" s="82" t="s">
        <v>385</v>
      </c>
      <c r="L549" s="88" t="s">
        <v>310</v>
      </c>
      <c r="M549" s="54">
        <v>46644</v>
      </c>
      <c r="N549" s="55">
        <v>46669</v>
      </c>
    </row>
    <row r="550" spans="2:14" x14ac:dyDescent="0.25">
      <c r="B550" s="79" t="s">
        <v>381</v>
      </c>
      <c r="C550" s="82" t="s">
        <v>1056</v>
      </c>
      <c r="D550" s="82" t="s">
        <v>405</v>
      </c>
      <c r="E550" s="82" t="s">
        <v>914</v>
      </c>
      <c r="F550" s="82" t="s">
        <v>1234</v>
      </c>
      <c r="G550" s="85" t="s">
        <v>1244</v>
      </c>
      <c r="H550" s="85" t="s">
        <v>1244</v>
      </c>
      <c r="I550" s="82" t="s">
        <v>1683</v>
      </c>
      <c r="J550" s="82" t="s">
        <v>1684</v>
      </c>
      <c r="K550" s="82" t="s">
        <v>385</v>
      </c>
      <c r="L550" s="88" t="s">
        <v>310</v>
      </c>
      <c r="M550" s="54">
        <v>46684</v>
      </c>
      <c r="N550" s="55">
        <v>46707</v>
      </c>
    </row>
    <row r="551" spans="2:14" x14ac:dyDescent="0.25">
      <c r="B551" s="79" t="s">
        <v>381</v>
      </c>
      <c r="C551" s="82" t="s">
        <v>1056</v>
      </c>
      <c r="D551" s="82" t="s">
        <v>405</v>
      </c>
      <c r="E551" s="82" t="s">
        <v>914</v>
      </c>
      <c r="F551" s="82" t="s">
        <v>1247</v>
      </c>
      <c r="G551" s="85" t="s">
        <v>1248</v>
      </c>
      <c r="H551" s="85" t="s">
        <v>1248</v>
      </c>
      <c r="I551" s="82" t="s">
        <v>1685</v>
      </c>
      <c r="J551" s="82" t="s">
        <v>1686</v>
      </c>
      <c r="K551" s="82" t="s">
        <v>385</v>
      </c>
      <c r="L551" s="88" t="s">
        <v>214</v>
      </c>
      <c r="M551" s="54">
        <v>46684</v>
      </c>
      <c r="N551" s="55">
        <v>46699</v>
      </c>
    </row>
    <row r="552" spans="2:14" x14ac:dyDescent="0.25">
      <c r="B552" s="79" t="s">
        <v>381</v>
      </c>
      <c r="C552" s="82" t="s">
        <v>1056</v>
      </c>
      <c r="D552" s="82" t="s">
        <v>405</v>
      </c>
      <c r="E552" s="82" t="s">
        <v>914</v>
      </c>
      <c r="F552" s="82" t="s">
        <v>1247</v>
      </c>
      <c r="G552" s="85" t="s">
        <v>1251</v>
      </c>
      <c r="H552" s="85" t="s">
        <v>1251</v>
      </c>
      <c r="I552" s="82" t="s">
        <v>1687</v>
      </c>
      <c r="J552" s="82" t="s">
        <v>1688</v>
      </c>
      <c r="K552" s="82" t="s">
        <v>385</v>
      </c>
      <c r="L552" s="88" t="s">
        <v>214</v>
      </c>
      <c r="M552" s="54">
        <v>46722</v>
      </c>
      <c r="N552" s="55">
        <v>46737</v>
      </c>
    </row>
    <row r="553" spans="2:14" x14ac:dyDescent="0.25">
      <c r="B553" s="79" t="s">
        <v>381</v>
      </c>
      <c r="C553" s="82" t="s">
        <v>1056</v>
      </c>
      <c r="D553" s="82" t="s">
        <v>405</v>
      </c>
      <c r="E553" s="82" t="s">
        <v>914</v>
      </c>
      <c r="F553" s="82" t="s">
        <v>1247</v>
      </c>
      <c r="G553" s="85" t="s">
        <v>1254</v>
      </c>
      <c r="H553" s="85" t="s">
        <v>1254</v>
      </c>
      <c r="I553" s="82" t="s">
        <v>1689</v>
      </c>
      <c r="J553" s="82" t="s">
        <v>1690</v>
      </c>
      <c r="K553" s="82" t="s">
        <v>385</v>
      </c>
      <c r="L553" s="88" t="s">
        <v>310</v>
      </c>
      <c r="M553" s="54">
        <v>46722</v>
      </c>
      <c r="N553" s="55">
        <v>46746</v>
      </c>
    </row>
    <row r="554" spans="2:14" x14ac:dyDescent="0.25">
      <c r="B554" s="79" t="s">
        <v>381</v>
      </c>
      <c r="C554" s="82" t="s">
        <v>1056</v>
      </c>
      <c r="D554" s="82" t="s">
        <v>405</v>
      </c>
      <c r="E554" s="82" t="s">
        <v>914</v>
      </c>
      <c r="F554" s="82" t="s">
        <v>1247</v>
      </c>
      <c r="G554" s="85" t="s">
        <v>1257</v>
      </c>
      <c r="H554" s="85" t="s">
        <v>1257</v>
      </c>
      <c r="I554" s="82" t="s">
        <v>1691</v>
      </c>
      <c r="J554" s="82" t="s">
        <v>1692</v>
      </c>
      <c r="K554" s="82" t="s">
        <v>385</v>
      </c>
      <c r="L554" s="88" t="s">
        <v>214</v>
      </c>
      <c r="M554" s="54">
        <v>46761</v>
      </c>
      <c r="N554" s="55">
        <v>46776</v>
      </c>
    </row>
    <row r="555" spans="2:14" x14ac:dyDescent="0.25">
      <c r="B555" s="79" t="s">
        <v>381</v>
      </c>
      <c r="C555" s="82" t="s">
        <v>1056</v>
      </c>
      <c r="D555" s="82" t="s">
        <v>405</v>
      </c>
      <c r="E555" s="82" t="s">
        <v>914</v>
      </c>
      <c r="F555" s="82" t="s">
        <v>1247</v>
      </c>
      <c r="G555" s="85" t="s">
        <v>1260</v>
      </c>
      <c r="H555" s="85" t="s">
        <v>1260</v>
      </c>
      <c r="I555" s="82" t="s">
        <v>1693</v>
      </c>
      <c r="J555" s="82" t="s">
        <v>1694</v>
      </c>
      <c r="K555" s="82" t="s">
        <v>385</v>
      </c>
      <c r="L555" s="88" t="s">
        <v>310</v>
      </c>
      <c r="M555" s="54">
        <v>46722</v>
      </c>
      <c r="N555" s="55">
        <v>46746</v>
      </c>
    </row>
    <row r="556" spans="2:14" x14ac:dyDescent="0.25">
      <c r="B556" s="79" t="s">
        <v>381</v>
      </c>
      <c r="C556" s="82" t="s">
        <v>1056</v>
      </c>
      <c r="D556" s="82" t="s">
        <v>405</v>
      </c>
      <c r="E556" s="82" t="s">
        <v>914</v>
      </c>
      <c r="F556" s="82" t="s">
        <v>1247</v>
      </c>
      <c r="G556" s="85" t="s">
        <v>1266</v>
      </c>
      <c r="H556" s="85" t="s">
        <v>1266</v>
      </c>
      <c r="I556" s="82" t="s">
        <v>1695</v>
      </c>
      <c r="J556" s="82" t="s">
        <v>1696</v>
      </c>
      <c r="K556" s="82" t="s">
        <v>385</v>
      </c>
      <c r="L556" s="88" t="s">
        <v>310</v>
      </c>
      <c r="M556" s="54">
        <v>46722</v>
      </c>
      <c r="N556" s="55">
        <v>46746</v>
      </c>
    </row>
    <row r="557" spans="2:14" x14ac:dyDescent="0.25">
      <c r="B557" s="79" t="s">
        <v>381</v>
      </c>
      <c r="C557" s="82" t="s">
        <v>1056</v>
      </c>
      <c r="D557" s="82" t="s">
        <v>405</v>
      </c>
      <c r="E557" s="82" t="s">
        <v>914</v>
      </c>
      <c r="F557" s="82" t="s">
        <v>1269</v>
      </c>
      <c r="G557" s="85" t="s">
        <v>1294</v>
      </c>
      <c r="H557" s="85" t="s">
        <v>1294</v>
      </c>
      <c r="I557" s="82" t="s">
        <v>1697</v>
      </c>
      <c r="J557" s="82" t="s">
        <v>1698</v>
      </c>
      <c r="K557" s="82" t="s">
        <v>385</v>
      </c>
      <c r="L557" s="88" t="s">
        <v>310</v>
      </c>
      <c r="M557" s="54">
        <v>46776</v>
      </c>
      <c r="N557" s="55">
        <v>46799</v>
      </c>
    </row>
    <row r="558" spans="2:14" x14ac:dyDescent="0.25">
      <c r="B558" s="79" t="s">
        <v>381</v>
      </c>
      <c r="C558" s="82" t="s">
        <v>1056</v>
      </c>
      <c r="D558" s="82" t="s">
        <v>405</v>
      </c>
      <c r="E558" s="82" t="s">
        <v>914</v>
      </c>
      <c r="F558" s="82" t="s">
        <v>1269</v>
      </c>
      <c r="G558" s="85" t="s">
        <v>1294</v>
      </c>
      <c r="H558" s="85" t="s">
        <v>1437</v>
      </c>
      <c r="I558" s="82" t="s">
        <v>1699</v>
      </c>
      <c r="J558" s="82" t="s">
        <v>1700</v>
      </c>
      <c r="K558" s="82" t="s">
        <v>385</v>
      </c>
      <c r="L558" s="88" t="s">
        <v>310</v>
      </c>
      <c r="M558" s="54">
        <v>46776</v>
      </c>
      <c r="N558" s="55">
        <v>46799</v>
      </c>
    </row>
    <row r="559" spans="2:14" x14ac:dyDescent="0.25">
      <c r="B559" s="79" t="s">
        <v>381</v>
      </c>
      <c r="C559" s="82" t="s">
        <v>1056</v>
      </c>
      <c r="D559" s="82" t="s">
        <v>405</v>
      </c>
      <c r="E559" s="82" t="s">
        <v>914</v>
      </c>
      <c r="F559" s="82" t="s">
        <v>1269</v>
      </c>
      <c r="G559" s="85" t="s">
        <v>1286</v>
      </c>
      <c r="H559" s="85" t="s">
        <v>1286</v>
      </c>
      <c r="I559" s="82" t="s">
        <v>1701</v>
      </c>
      <c r="J559" s="82" t="s">
        <v>1702</v>
      </c>
      <c r="K559" s="82" t="s">
        <v>385</v>
      </c>
      <c r="L559" s="88" t="s">
        <v>214</v>
      </c>
      <c r="M559" s="54">
        <v>46814</v>
      </c>
      <c r="N559" s="55">
        <v>46830</v>
      </c>
    </row>
    <row r="560" spans="2:14" x14ac:dyDescent="0.25">
      <c r="B560" s="79" t="s">
        <v>381</v>
      </c>
      <c r="C560" s="82" t="s">
        <v>1056</v>
      </c>
      <c r="D560" s="82" t="s">
        <v>417</v>
      </c>
      <c r="E560" s="82" t="s">
        <v>1057</v>
      </c>
      <c r="F560" s="82" t="s">
        <v>938</v>
      </c>
      <c r="G560" s="85" t="s">
        <v>938</v>
      </c>
      <c r="H560" s="85" t="s">
        <v>1058</v>
      </c>
      <c r="I560" s="82" t="s">
        <v>1703</v>
      </c>
      <c r="J560" s="82" t="s">
        <v>1704</v>
      </c>
      <c r="K560" s="82" t="s">
        <v>385</v>
      </c>
      <c r="L560" s="88" t="s">
        <v>310</v>
      </c>
      <c r="M560" s="54">
        <v>46513</v>
      </c>
      <c r="N560" s="55">
        <v>46541</v>
      </c>
    </row>
    <row r="561" spans="2:14" x14ac:dyDescent="0.25">
      <c r="B561" s="79" t="s">
        <v>381</v>
      </c>
      <c r="C561" s="82" t="s">
        <v>1056</v>
      </c>
      <c r="D561" s="82" t="s">
        <v>417</v>
      </c>
      <c r="E561" s="82" t="s">
        <v>1057</v>
      </c>
      <c r="F561" s="82" t="s">
        <v>938</v>
      </c>
      <c r="G561" s="85" t="s">
        <v>938</v>
      </c>
      <c r="H561" s="85" t="s">
        <v>1061</v>
      </c>
      <c r="I561" s="82" t="s">
        <v>1705</v>
      </c>
      <c r="J561" s="82" t="s">
        <v>1706</v>
      </c>
      <c r="K561" s="82" t="s">
        <v>385</v>
      </c>
      <c r="L561" s="88" t="s">
        <v>310</v>
      </c>
      <c r="M561" s="54">
        <v>46513</v>
      </c>
      <c r="N561" s="55">
        <v>46541</v>
      </c>
    </row>
    <row r="562" spans="2:14" x14ac:dyDescent="0.25">
      <c r="B562" s="79" t="s">
        <v>381</v>
      </c>
      <c r="C562" s="82" t="s">
        <v>1056</v>
      </c>
      <c r="D562" s="82" t="s">
        <v>417</v>
      </c>
      <c r="E562" s="82" t="s">
        <v>1057</v>
      </c>
      <c r="F562" s="82" t="s">
        <v>949</v>
      </c>
      <c r="G562" s="85" t="s">
        <v>949</v>
      </c>
      <c r="H562" s="85" t="s">
        <v>1058</v>
      </c>
      <c r="I562" s="82" t="s">
        <v>1707</v>
      </c>
      <c r="J562" s="82" t="s">
        <v>1708</v>
      </c>
      <c r="K562" s="82" t="s">
        <v>385</v>
      </c>
      <c r="L562" s="88" t="s">
        <v>310</v>
      </c>
      <c r="M562" s="54">
        <v>46557</v>
      </c>
      <c r="N562" s="55">
        <v>46580</v>
      </c>
    </row>
    <row r="563" spans="2:14" x14ac:dyDescent="0.25">
      <c r="B563" s="79" t="s">
        <v>381</v>
      </c>
      <c r="C563" s="82" t="s">
        <v>1056</v>
      </c>
      <c r="D563" s="82" t="s">
        <v>417</v>
      </c>
      <c r="E563" s="82" t="s">
        <v>1057</v>
      </c>
      <c r="F563" s="82" t="s">
        <v>949</v>
      </c>
      <c r="G563" s="85" t="s">
        <v>949</v>
      </c>
      <c r="H563" s="85" t="s">
        <v>1061</v>
      </c>
      <c r="I563" s="82" t="s">
        <v>1709</v>
      </c>
      <c r="J563" s="82" t="s">
        <v>1710</v>
      </c>
      <c r="K563" s="82" t="s">
        <v>385</v>
      </c>
      <c r="L563" s="88" t="s">
        <v>310</v>
      </c>
      <c r="M563" s="54">
        <v>46543</v>
      </c>
      <c r="N563" s="55">
        <v>46566</v>
      </c>
    </row>
    <row r="564" spans="2:14" x14ac:dyDescent="0.25">
      <c r="B564" s="79" t="s">
        <v>381</v>
      </c>
      <c r="C564" s="82" t="s">
        <v>1056</v>
      </c>
      <c r="D564" s="82" t="s">
        <v>417</v>
      </c>
      <c r="E564" s="82" t="s">
        <v>1108</v>
      </c>
      <c r="F564" s="82" t="s">
        <v>938</v>
      </c>
      <c r="G564" s="85" t="s">
        <v>1109</v>
      </c>
      <c r="H564" s="85" t="s">
        <v>1109</v>
      </c>
      <c r="I564" s="82" t="s">
        <v>1711</v>
      </c>
      <c r="J564" s="82" t="s">
        <v>1712</v>
      </c>
      <c r="K564" s="82" t="s">
        <v>385</v>
      </c>
      <c r="L564" s="88" t="s">
        <v>310</v>
      </c>
      <c r="M564" s="54">
        <v>46603</v>
      </c>
      <c r="N564" s="55">
        <v>46627</v>
      </c>
    </row>
    <row r="565" spans="2:14" x14ac:dyDescent="0.25">
      <c r="B565" s="79" t="s">
        <v>381</v>
      </c>
      <c r="C565" s="82" t="s">
        <v>1056</v>
      </c>
      <c r="D565" s="82" t="s">
        <v>417</v>
      </c>
      <c r="E565" s="82" t="s">
        <v>1108</v>
      </c>
      <c r="F565" s="82" t="s">
        <v>938</v>
      </c>
      <c r="G565" s="85" t="s">
        <v>1112</v>
      </c>
      <c r="H565" s="85" t="s">
        <v>1112</v>
      </c>
      <c r="I565" s="82" t="s">
        <v>1713</v>
      </c>
      <c r="J565" s="82" t="s">
        <v>1714</v>
      </c>
      <c r="K565" s="82" t="s">
        <v>385</v>
      </c>
      <c r="L565" s="88" t="s">
        <v>310</v>
      </c>
      <c r="M565" s="54">
        <v>46603</v>
      </c>
      <c r="N565" s="55">
        <v>46627</v>
      </c>
    </row>
    <row r="566" spans="2:14" x14ac:dyDescent="0.25">
      <c r="B566" s="79" t="s">
        <v>381</v>
      </c>
      <c r="C566" s="82" t="s">
        <v>1056</v>
      </c>
      <c r="D566" s="82" t="s">
        <v>417</v>
      </c>
      <c r="E566" s="82" t="s">
        <v>1108</v>
      </c>
      <c r="F566" s="82" t="s">
        <v>938</v>
      </c>
      <c r="G566" s="85" t="s">
        <v>1115</v>
      </c>
      <c r="H566" s="85" t="s">
        <v>1115</v>
      </c>
      <c r="I566" s="82" t="s">
        <v>1715</v>
      </c>
      <c r="J566" s="82" t="s">
        <v>1716</v>
      </c>
      <c r="K566" s="82" t="s">
        <v>385</v>
      </c>
      <c r="L566" s="88" t="s">
        <v>310</v>
      </c>
      <c r="M566" s="54">
        <v>46603</v>
      </c>
      <c r="N566" s="55">
        <v>46627</v>
      </c>
    </row>
    <row r="567" spans="2:14" x14ac:dyDescent="0.25">
      <c r="B567" s="79" t="s">
        <v>381</v>
      </c>
      <c r="C567" s="82" t="s">
        <v>1056</v>
      </c>
      <c r="D567" s="82" t="s">
        <v>417</v>
      </c>
      <c r="E567" s="82" t="s">
        <v>1108</v>
      </c>
      <c r="F567" s="82" t="s">
        <v>938</v>
      </c>
      <c r="G567" s="85" t="s">
        <v>1118</v>
      </c>
      <c r="H567" s="85" t="s">
        <v>1118</v>
      </c>
      <c r="I567" s="82" t="s">
        <v>1717</v>
      </c>
      <c r="J567" s="82" t="s">
        <v>1718</v>
      </c>
      <c r="K567" s="82" t="s">
        <v>385</v>
      </c>
      <c r="L567" s="88" t="s">
        <v>310</v>
      </c>
      <c r="M567" s="54">
        <v>46603</v>
      </c>
      <c r="N567" s="55">
        <v>46627</v>
      </c>
    </row>
    <row r="568" spans="2:14" x14ac:dyDescent="0.25">
      <c r="B568" s="79" t="s">
        <v>381</v>
      </c>
      <c r="C568" s="82" t="s">
        <v>1056</v>
      </c>
      <c r="D568" s="82" t="s">
        <v>417</v>
      </c>
      <c r="E568" s="82" t="s">
        <v>1108</v>
      </c>
      <c r="F568" s="82" t="s">
        <v>938</v>
      </c>
      <c r="G568" s="85" t="s">
        <v>1121</v>
      </c>
      <c r="H568" s="85" t="s">
        <v>1121</v>
      </c>
      <c r="I568" s="82" t="s">
        <v>1719</v>
      </c>
      <c r="J568" s="82" t="s">
        <v>1720</v>
      </c>
      <c r="K568" s="82" t="s">
        <v>385</v>
      </c>
      <c r="L568" s="88" t="s">
        <v>310</v>
      </c>
      <c r="M568" s="54">
        <v>46603</v>
      </c>
      <c r="N568" s="55">
        <v>46627</v>
      </c>
    </row>
    <row r="569" spans="2:14" x14ac:dyDescent="0.25">
      <c r="B569" s="79" t="s">
        <v>381</v>
      </c>
      <c r="C569" s="82" t="s">
        <v>1056</v>
      </c>
      <c r="D569" s="82" t="s">
        <v>417</v>
      </c>
      <c r="E569" s="82" t="s">
        <v>1108</v>
      </c>
      <c r="F569" s="82" t="s">
        <v>949</v>
      </c>
      <c r="G569" s="85" t="s">
        <v>1109</v>
      </c>
      <c r="H569" s="85" t="s">
        <v>1109</v>
      </c>
      <c r="I569" s="82" t="s">
        <v>1721</v>
      </c>
      <c r="J569" s="82" t="s">
        <v>1722</v>
      </c>
      <c r="K569" s="82" t="s">
        <v>385</v>
      </c>
      <c r="L569" s="88" t="s">
        <v>310</v>
      </c>
      <c r="M569" s="54">
        <v>46603</v>
      </c>
      <c r="N569" s="55">
        <v>46627</v>
      </c>
    </row>
    <row r="570" spans="2:14" x14ac:dyDescent="0.25">
      <c r="B570" s="79" t="s">
        <v>381</v>
      </c>
      <c r="C570" s="82" t="s">
        <v>1056</v>
      </c>
      <c r="D570" s="82" t="s">
        <v>417</v>
      </c>
      <c r="E570" s="82" t="s">
        <v>1108</v>
      </c>
      <c r="F570" s="82" t="s">
        <v>949</v>
      </c>
      <c r="G570" s="85" t="s">
        <v>1112</v>
      </c>
      <c r="H570" s="85" t="s">
        <v>1112</v>
      </c>
      <c r="I570" s="82" t="s">
        <v>1723</v>
      </c>
      <c r="J570" s="82" t="s">
        <v>1724</v>
      </c>
      <c r="K570" s="82" t="s">
        <v>385</v>
      </c>
      <c r="L570" s="88" t="s">
        <v>310</v>
      </c>
      <c r="M570" s="54">
        <v>46628</v>
      </c>
      <c r="N570" s="55">
        <v>46651</v>
      </c>
    </row>
    <row r="571" spans="2:14" x14ac:dyDescent="0.25">
      <c r="B571" s="79" t="s">
        <v>381</v>
      </c>
      <c r="C571" s="82" t="s">
        <v>1056</v>
      </c>
      <c r="D571" s="82" t="s">
        <v>417</v>
      </c>
      <c r="E571" s="82" t="s">
        <v>1108</v>
      </c>
      <c r="F571" s="82" t="s">
        <v>949</v>
      </c>
      <c r="G571" s="85" t="s">
        <v>1115</v>
      </c>
      <c r="H571" s="85" t="s">
        <v>1115</v>
      </c>
      <c r="I571" s="82" t="s">
        <v>1725</v>
      </c>
      <c r="J571" s="82" t="s">
        <v>1726</v>
      </c>
      <c r="K571" s="82" t="s">
        <v>385</v>
      </c>
      <c r="L571" s="88" t="s">
        <v>310</v>
      </c>
      <c r="M571" s="54">
        <v>46628</v>
      </c>
      <c r="N571" s="55">
        <v>46651</v>
      </c>
    </row>
    <row r="572" spans="2:14" x14ac:dyDescent="0.25">
      <c r="B572" s="79" t="s">
        <v>381</v>
      </c>
      <c r="C572" s="82" t="s">
        <v>1056</v>
      </c>
      <c r="D572" s="82" t="s">
        <v>417</v>
      </c>
      <c r="E572" s="82" t="s">
        <v>1108</v>
      </c>
      <c r="F572" s="82" t="s">
        <v>949</v>
      </c>
      <c r="G572" s="85" t="s">
        <v>1118</v>
      </c>
      <c r="H572" s="85" t="s">
        <v>1118</v>
      </c>
      <c r="I572" s="82" t="s">
        <v>1727</v>
      </c>
      <c r="J572" s="82" t="s">
        <v>1728</v>
      </c>
      <c r="K572" s="82" t="s">
        <v>385</v>
      </c>
      <c r="L572" s="88" t="s">
        <v>310</v>
      </c>
      <c r="M572" s="54">
        <v>46628</v>
      </c>
      <c r="N572" s="55">
        <v>46651</v>
      </c>
    </row>
    <row r="573" spans="2:14" x14ac:dyDescent="0.25">
      <c r="B573" s="79" t="s">
        <v>381</v>
      </c>
      <c r="C573" s="82" t="s">
        <v>1056</v>
      </c>
      <c r="D573" s="82" t="s">
        <v>417</v>
      </c>
      <c r="E573" s="82" t="s">
        <v>1108</v>
      </c>
      <c r="F573" s="82" t="s">
        <v>949</v>
      </c>
      <c r="G573" s="85" t="s">
        <v>1121</v>
      </c>
      <c r="H573" s="85" t="s">
        <v>1121</v>
      </c>
      <c r="I573" s="82" t="s">
        <v>1729</v>
      </c>
      <c r="J573" s="82" t="s">
        <v>1730</v>
      </c>
      <c r="K573" s="82" t="s">
        <v>385</v>
      </c>
      <c r="L573" s="88" t="s">
        <v>310</v>
      </c>
      <c r="M573" s="54">
        <v>46628</v>
      </c>
      <c r="N573" s="55">
        <v>46651</v>
      </c>
    </row>
    <row r="574" spans="2:14" x14ac:dyDescent="0.25">
      <c r="B574" s="79" t="s">
        <v>381</v>
      </c>
      <c r="C574" s="82" t="s">
        <v>1056</v>
      </c>
      <c r="D574" s="82" t="s">
        <v>417</v>
      </c>
      <c r="E574" s="82" t="s">
        <v>1234</v>
      </c>
      <c r="F574" s="82" t="s">
        <v>1109</v>
      </c>
      <c r="G574" s="85" t="s">
        <v>1109</v>
      </c>
      <c r="H574" s="85" t="s">
        <v>1109</v>
      </c>
      <c r="I574" s="82" t="s">
        <v>1731</v>
      </c>
      <c r="J574" s="82" t="s">
        <v>1732</v>
      </c>
      <c r="K574" s="82" t="s">
        <v>385</v>
      </c>
      <c r="L574" s="88" t="s">
        <v>310</v>
      </c>
      <c r="M574" s="54">
        <v>46666</v>
      </c>
      <c r="N574" s="55">
        <v>46690</v>
      </c>
    </row>
    <row r="575" spans="2:14" x14ac:dyDescent="0.25">
      <c r="B575" s="79" t="s">
        <v>381</v>
      </c>
      <c r="C575" s="82" t="s">
        <v>1056</v>
      </c>
      <c r="D575" s="82" t="s">
        <v>417</v>
      </c>
      <c r="E575" s="82" t="s">
        <v>1234</v>
      </c>
      <c r="F575" s="82" t="s">
        <v>1238</v>
      </c>
      <c r="G575" s="85" t="s">
        <v>1238</v>
      </c>
      <c r="H575" s="85" t="s">
        <v>1238</v>
      </c>
      <c r="I575" s="82" t="s">
        <v>1733</v>
      </c>
      <c r="J575" s="82" t="s">
        <v>1734</v>
      </c>
      <c r="K575" s="82" t="s">
        <v>385</v>
      </c>
      <c r="L575" s="88" t="s">
        <v>310</v>
      </c>
      <c r="M575" s="54">
        <v>46666</v>
      </c>
      <c r="N575" s="55">
        <v>46690</v>
      </c>
    </row>
    <row r="576" spans="2:14" x14ac:dyDescent="0.25">
      <c r="B576" s="79" t="s">
        <v>381</v>
      </c>
      <c r="C576" s="82" t="s">
        <v>1056</v>
      </c>
      <c r="D576" s="82" t="s">
        <v>417</v>
      </c>
      <c r="E576" s="82" t="s">
        <v>1234</v>
      </c>
      <c r="F576" s="82" t="s">
        <v>1241</v>
      </c>
      <c r="G576" s="85" t="s">
        <v>1241</v>
      </c>
      <c r="H576" s="85" t="s">
        <v>1241</v>
      </c>
      <c r="I576" s="82" t="s">
        <v>1735</v>
      </c>
      <c r="J576" s="82" t="s">
        <v>1736</v>
      </c>
      <c r="K576" s="82" t="s">
        <v>385</v>
      </c>
      <c r="L576" s="88" t="s">
        <v>310</v>
      </c>
      <c r="M576" s="54">
        <v>46666</v>
      </c>
      <c r="N576" s="55">
        <v>46690</v>
      </c>
    </row>
    <row r="577" spans="2:14" x14ac:dyDescent="0.25">
      <c r="B577" s="79" t="s">
        <v>381</v>
      </c>
      <c r="C577" s="82" t="s">
        <v>1056</v>
      </c>
      <c r="D577" s="82" t="s">
        <v>417</v>
      </c>
      <c r="E577" s="82" t="s">
        <v>1234</v>
      </c>
      <c r="F577" s="82" t="s">
        <v>1244</v>
      </c>
      <c r="G577" s="85" t="s">
        <v>1244</v>
      </c>
      <c r="H577" s="85" t="s">
        <v>1244</v>
      </c>
      <c r="I577" s="82" t="s">
        <v>1737</v>
      </c>
      <c r="J577" s="82" t="s">
        <v>1738</v>
      </c>
      <c r="K577" s="82" t="s">
        <v>385</v>
      </c>
      <c r="L577" s="88" t="s">
        <v>310</v>
      </c>
      <c r="M577" s="54">
        <v>46666</v>
      </c>
      <c r="N577" s="55">
        <v>46690</v>
      </c>
    </row>
    <row r="578" spans="2:14" x14ac:dyDescent="0.25">
      <c r="B578" s="79" t="s">
        <v>381</v>
      </c>
      <c r="C578" s="82" t="s">
        <v>1056</v>
      </c>
      <c r="D578" s="82" t="s">
        <v>417</v>
      </c>
      <c r="E578" s="82" t="s">
        <v>1247</v>
      </c>
      <c r="F578" s="82" t="s">
        <v>1248</v>
      </c>
      <c r="G578" s="85" t="s">
        <v>1248</v>
      </c>
      <c r="H578" s="85" t="s">
        <v>1248</v>
      </c>
      <c r="I578" s="82" t="s">
        <v>1739</v>
      </c>
      <c r="J578" s="82" t="s">
        <v>1740</v>
      </c>
      <c r="K578" s="82" t="s">
        <v>385</v>
      </c>
      <c r="L578" s="88" t="s">
        <v>310</v>
      </c>
      <c r="M578" s="54">
        <v>46705</v>
      </c>
      <c r="N578" s="55">
        <v>46728</v>
      </c>
    </row>
    <row r="579" spans="2:14" x14ac:dyDescent="0.25">
      <c r="B579" s="79" t="s">
        <v>381</v>
      </c>
      <c r="C579" s="82" t="s">
        <v>1056</v>
      </c>
      <c r="D579" s="82" t="s">
        <v>417</v>
      </c>
      <c r="E579" s="82" t="s">
        <v>1247</v>
      </c>
      <c r="F579" s="82" t="s">
        <v>1251</v>
      </c>
      <c r="G579" s="85" t="s">
        <v>1251</v>
      </c>
      <c r="H579" s="85" t="s">
        <v>1251</v>
      </c>
      <c r="I579" s="82" t="s">
        <v>1741</v>
      </c>
      <c r="J579" s="82" t="s">
        <v>1742</v>
      </c>
      <c r="K579" s="82" t="s">
        <v>385</v>
      </c>
      <c r="L579" s="88" t="s">
        <v>310</v>
      </c>
      <c r="M579" s="54">
        <v>46705</v>
      </c>
      <c r="N579" s="55">
        <v>46728</v>
      </c>
    </row>
    <row r="580" spans="2:14" x14ac:dyDescent="0.25">
      <c r="B580" s="79" t="s">
        <v>381</v>
      </c>
      <c r="C580" s="82" t="s">
        <v>1056</v>
      </c>
      <c r="D580" s="82" t="s">
        <v>417</v>
      </c>
      <c r="E580" s="82" t="s">
        <v>1247</v>
      </c>
      <c r="F580" s="82" t="s">
        <v>1254</v>
      </c>
      <c r="G580" s="85" t="s">
        <v>1254</v>
      </c>
      <c r="H580" s="85" t="s">
        <v>1254</v>
      </c>
      <c r="I580" s="82" t="s">
        <v>1743</v>
      </c>
      <c r="J580" s="82" t="s">
        <v>1744</v>
      </c>
      <c r="K580" s="82" t="s">
        <v>385</v>
      </c>
      <c r="L580" s="88" t="s">
        <v>310</v>
      </c>
      <c r="M580" s="54">
        <v>46705</v>
      </c>
      <c r="N580" s="55">
        <v>46728</v>
      </c>
    </row>
    <row r="581" spans="2:14" x14ac:dyDescent="0.25">
      <c r="B581" s="79" t="s">
        <v>381</v>
      </c>
      <c r="C581" s="82" t="s">
        <v>1056</v>
      </c>
      <c r="D581" s="82" t="s">
        <v>417</v>
      </c>
      <c r="E581" s="82" t="s">
        <v>1247</v>
      </c>
      <c r="F581" s="82" t="s">
        <v>1257</v>
      </c>
      <c r="G581" s="85" t="s">
        <v>1257</v>
      </c>
      <c r="H581" s="85" t="s">
        <v>1257</v>
      </c>
      <c r="I581" s="82" t="s">
        <v>1745</v>
      </c>
      <c r="J581" s="82" t="s">
        <v>1746</v>
      </c>
      <c r="K581" s="82" t="s">
        <v>385</v>
      </c>
      <c r="L581" s="88" t="s">
        <v>214</v>
      </c>
      <c r="M581" s="54">
        <v>46790</v>
      </c>
      <c r="N581" s="55">
        <v>46806</v>
      </c>
    </row>
    <row r="582" spans="2:14" x14ac:dyDescent="0.25">
      <c r="B582" s="79" t="s">
        <v>381</v>
      </c>
      <c r="C582" s="82" t="s">
        <v>1056</v>
      </c>
      <c r="D582" s="82" t="s">
        <v>417</v>
      </c>
      <c r="E582" s="82" t="s">
        <v>1247</v>
      </c>
      <c r="F582" s="82" t="s">
        <v>1260</v>
      </c>
      <c r="G582" s="85" t="s">
        <v>1260</v>
      </c>
      <c r="H582" s="85" t="s">
        <v>1260</v>
      </c>
      <c r="I582" s="82" t="s">
        <v>1747</v>
      </c>
      <c r="J582" s="82" t="s">
        <v>1748</v>
      </c>
      <c r="K582" s="82" t="s">
        <v>385</v>
      </c>
      <c r="L582" s="88" t="s">
        <v>310</v>
      </c>
      <c r="M582" s="54">
        <v>46705</v>
      </c>
      <c r="N582" s="55">
        <v>46728</v>
      </c>
    </row>
    <row r="583" spans="2:14" x14ac:dyDescent="0.25">
      <c r="B583" s="79" t="s">
        <v>381</v>
      </c>
      <c r="C583" s="82" t="s">
        <v>1056</v>
      </c>
      <c r="D583" s="82" t="s">
        <v>417</v>
      </c>
      <c r="E583" s="82" t="s">
        <v>1247</v>
      </c>
      <c r="F583" s="82" t="s">
        <v>1266</v>
      </c>
      <c r="G583" s="85" t="s">
        <v>1266</v>
      </c>
      <c r="H583" s="85" t="s">
        <v>1266</v>
      </c>
      <c r="I583" s="82" t="s">
        <v>1749</v>
      </c>
      <c r="J583" s="82" t="s">
        <v>1750</v>
      </c>
      <c r="K583" s="82" t="s">
        <v>385</v>
      </c>
      <c r="L583" s="88" t="s">
        <v>310</v>
      </c>
      <c r="M583" s="54">
        <v>46705</v>
      </c>
      <c r="N583" s="55">
        <v>46728</v>
      </c>
    </row>
    <row r="584" spans="2:14" x14ac:dyDescent="0.25">
      <c r="B584" s="79" t="s">
        <v>381</v>
      </c>
      <c r="C584" s="82" t="s">
        <v>1056</v>
      </c>
      <c r="D584" s="82" t="s">
        <v>417</v>
      </c>
      <c r="E584" s="82" t="s">
        <v>1269</v>
      </c>
      <c r="F584" s="82" t="s">
        <v>1286</v>
      </c>
      <c r="G584" s="85" t="s">
        <v>1286</v>
      </c>
      <c r="H584" s="85" t="s">
        <v>1286</v>
      </c>
      <c r="I584" s="82" t="s">
        <v>1751</v>
      </c>
      <c r="J584" s="82" t="s">
        <v>1752</v>
      </c>
      <c r="K584" s="82" t="s">
        <v>385</v>
      </c>
      <c r="L584" s="88" t="s">
        <v>214</v>
      </c>
      <c r="M584" s="54">
        <v>46821</v>
      </c>
      <c r="N584" s="55">
        <v>46837</v>
      </c>
    </row>
    <row r="585" spans="2:14" x14ac:dyDescent="0.25">
      <c r="B585" s="79" t="s">
        <v>381</v>
      </c>
      <c r="C585" s="82" t="s">
        <v>1056</v>
      </c>
      <c r="D585" s="82" t="s">
        <v>1753</v>
      </c>
      <c r="E585" s="82" t="s">
        <v>1754</v>
      </c>
      <c r="F585" s="82" t="s">
        <v>1109</v>
      </c>
      <c r="G585" s="85" t="s">
        <v>1109</v>
      </c>
      <c r="H585" s="85" t="s">
        <v>1109</v>
      </c>
      <c r="I585" s="82" t="s">
        <v>1755</v>
      </c>
      <c r="J585" s="82" t="s">
        <v>1756</v>
      </c>
      <c r="K585" s="82" t="s">
        <v>385</v>
      </c>
      <c r="L585" s="88" t="s">
        <v>310</v>
      </c>
      <c r="M585" s="54">
        <v>46606</v>
      </c>
      <c r="N585" s="55">
        <v>46629</v>
      </c>
    </row>
    <row r="586" spans="2:14" x14ac:dyDescent="0.25">
      <c r="B586" s="79" t="s">
        <v>381</v>
      </c>
      <c r="C586" s="82" t="s">
        <v>1056</v>
      </c>
      <c r="D586" s="82" t="s">
        <v>1753</v>
      </c>
      <c r="E586" s="82" t="s">
        <v>1754</v>
      </c>
      <c r="F586" s="82" t="s">
        <v>1278</v>
      </c>
      <c r="G586" s="85" t="s">
        <v>1278</v>
      </c>
      <c r="H586" s="85" t="s">
        <v>1278</v>
      </c>
      <c r="I586" s="82" t="s">
        <v>1757</v>
      </c>
      <c r="J586" s="82" t="s">
        <v>1758</v>
      </c>
      <c r="K586" s="82" t="s">
        <v>385</v>
      </c>
      <c r="L586" s="88" t="s">
        <v>310</v>
      </c>
      <c r="M586" s="54">
        <v>46690</v>
      </c>
      <c r="N586" s="55">
        <v>46713</v>
      </c>
    </row>
    <row r="587" spans="2:14" x14ac:dyDescent="0.25">
      <c r="B587" s="79" t="s">
        <v>381</v>
      </c>
      <c r="C587" s="82" t="s">
        <v>1056</v>
      </c>
      <c r="D587" s="82" t="s">
        <v>1753</v>
      </c>
      <c r="E587" s="82" t="s">
        <v>1754</v>
      </c>
      <c r="F587" s="82" t="s">
        <v>1061</v>
      </c>
      <c r="G587" s="85" t="s">
        <v>1061</v>
      </c>
      <c r="H587" s="85" t="s">
        <v>1061</v>
      </c>
      <c r="I587" s="82" t="s">
        <v>1759</v>
      </c>
      <c r="J587" s="82" t="s">
        <v>1760</v>
      </c>
      <c r="K587" s="82" t="s">
        <v>385</v>
      </c>
      <c r="L587" s="88" t="s">
        <v>310</v>
      </c>
      <c r="M587" s="54">
        <v>46714</v>
      </c>
      <c r="N587" s="55">
        <v>46737</v>
      </c>
    </row>
    <row r="588" spans="2:14" x14ac:dyDescent="0.25">
      <c r="B588" s="79" t="s">
        <v>381</v>
      </c>
      <c r="C588" s="82" t="s">
        <v>1056</v>
      </c>
      <c r="D588" s="82" t="s">
        <v>1753</v>
      </c>
      <c r="E588" s="82" t="s">
        <v>1761</v>
      </c>
      <c r="F588" s="82" t="s">
        <v>1109</v>
      </c>
      <c r="G588" s="85" t="s">
        <v>1109</v>
      </c>
      <c r="H588" s="85" t="s">
        <v>1109</v>
      </c>
      <c r="I588" s="82" t="s">
        <v>1762</v>
      </c>
      <c r="J588" s="82" t="s">
        <v>1763</v>
      </c>
      <c r="K588" s="82" t="s">
        <v>385</v>
      </c>
      <c r="L588" s="88" t="s">
        <v>310</v>
      </c>
      <c r="M588" s="54">
        <v>46630</v>
      </c>
      <c r="N588" s="55">
        <v>46655</v>
      </c>
    </row>
    <row r="589" spans="2:14" x14ac:dyDescent="0.25">
      <c r="B589" s="79" t="s">
        <v>381</v>
      </c>
      <c r="C589" s="82" t="s">
        <v>1056</v>
      </c>
      <c r="D589" s="82" t="s">
        <v>1753</v>
      </c>
      <c r="E589" s="82" t="s">
        <v>1761</v>
      </c>
      <c r="F589" s="82" t="s">
        <v>1278</v>
      </c>
      <c r="G589" s="85" t="s">
        <v>1278</v>
      </c>
      <c r="H589" s="85" t="s">
        <v>1278</v>
      </c>
      <c r="I589" s="82" t="s">
        <v>1764</v>
      </c>
      <c r="J589" s="82" t="s">
        <v>1765</v>
      </c>
      <c r="K589" s="82" t="s">
        <v>385</v>
      </c>
      <c r="L589" s="88" t="s">
        <v>310</v>
      </c>
      <c r="M589" s="54">
        <v>46690</v>
      </c>
      <c r="N589" s="55">
        <v>46713</v>
      </c>
    </row>
    <row r="590" spans="2:14" x14ac:dyDescent="0.25">
      <c r="B590" s="79" t="s">
        <v>381</v>
      </c>
      <c r="C590" s="82" t="s">
        <v>1056</v>
      </c>
      <c r="D590" s="82" t="s">
        <v>1753</v>
      </c>
      <c r="E590" s="82" t="s">
        <v>1761</v>
      </c>
      <c r="F590" s="82" t="s">
        <v>1061</v>
      </c>
      <c r="G590" s="85" t="s">
        <v>1061</v>
      </c>
      <c r="H590" s="85" t="s">
        <v>1061</v>
      </c>
      <c r="I590" s="82" t="s">
        <v>1766</v>
      </c>
      <c r="J590" s="82" t="s">
        <v>1767</v>
      </c>
      <c r="K590" s="82" t="s">
        <v>385</v>
      </c>
      <c r="L590" s="88" t="s">
        <v>214</v>
      </c>
      <c r="M590" s="54">
        <v>46739</v>
      </c>
      <c r="N590" s="55">
        <v>46754</v>
      </c>
    </row>
    <row r="591" spans="2:14" x14ac:dyDescent="0.25">
      <c r="B591" s="79" t="s">
        <v>381</v>
      </c>
      <c r="C591" s="82" t="s">
        <v>1056</v>
      </c>
      <c r="D591" s="82" t="s">
        <v>1753</v>
      </c>
      <c r="E591" s="82" t="s">
        <v>1768</v>
      </c>
      <c r="F591" s="82" t="s">
        <v>1109</v>
      </c>
      <c r="G591" s="85" t="s">
        <v>1109</v>
      </c>
      <c r="H591" s="85" t="s">
        <v>1109</v>
      </c>
      <c r="I591" s="82" t="s">
        <v>1769</v>
      </c>
      <c r="J591" s="82" t="s">
        <v>1770</v>
      </c>
      <c r="K591" s="82" t="s">
        <v>385</v>
      </c>
      <c r="L591" s="88" t="s">
        <v>310</v>
      </c>
      <c r="M591" s="54">
        <v>46630</v>
      </c>
      <c r="N591" s="55">
        <v>46655</v>
      </c>
    </row>
    <row r="592" spans="2:14" x14ac:dyDescent="0.25">
      <c r="B592" s="79" t="s">
        <v>381</v>
      </c>
      <c r="C592" s="82" t="s">
        <v>1056</v>
      </c>
      <c r="D592" s="82" t="s">
        <v>1753</v>
      </c>
      <c r="E592" s="82" t="s">
        <v>1768</v>
      </c>
      <c r="F592" s="82" t="s">
        <v>1278</v>
      </c>
      <c r="G592" s="85" t="s">
        <v>1278</v>
      </c>
      <c r="H592" s="85" t="s">
        <v>1278</v>
      </c>
      <c r="I592" s="82" t="s">
        <v>1771</v>
      </c>
      <c r="J592" s="82" t="s">
        <v>1772</v>
      </c>
      <c r="K592" s="82" t="s">
        <v>385</v>
      </c>
      <c r="L592" s="88" t="s">
        <v>310</v>
      </c>
      <c r="M592" s="54">
        <v>46714</v>
      </c>
      <c r="N592" s="55">
        <v>46737</v>
      </c>
    </row>
    <row r="593" spans="2:14" x14ac:dyDescent="0.25">
      <c r="B593" s="79" t="s">
        <v>381</v>
      </c>
      <c r="C593" s="82" t="s">
        <v>1056</v>
      </c>
      <c r="D593" s="82" t="s">
        <v>1753</v>
      </c>
      <c r="E593" s="82" t="s">
        <v>1768</v>
      </c>
      <c r="F593" s="82" t="s">
        <v>1061</v>
      </c>
      <c r="G593" s="85" t="s">
        <v>1061</v>
      </c>
      <c r="H593" s="85" t="s">
        <v>1061</v>
      </c>
      <c r="I593" s="82" t="s">
        <v>1773</v>
      </c>
      <c r="J593" s="82" t="s">
        <v>1774</v>
      </c>
      <c r="K593" s="82" t="s">
        <v>385</v>
      </c>
      <c r="L593" s="88" t="s">
        <v>214</v>
      </c>
      <c r="M593" s="54">
        <v>46753</v>
      </c>
      <c r="N593" s="55">
        <v>46768</v>
      </c>
    </row>
    <row r="594" spans="2:14" x14ac:dyDescent="0.25">
      <c r="B594" s="79" t="s">
        <v>381</v>
      </c>
      <c r="C594" s="82" t="s">
        <v>1056</v>
      </c>
      <c r="D594" s="82" t="s">
        <v>1753</v>
      </c>
      <c r="E594" s="82" t="s">
        <v>1775</v>
      </c>
      <c r="F594" s="82" t="s">
        <v>1109</v>
      </c>
      <c r="G594" s="85" t="s">
        <v>1109</v>
      </c>
      <c r="H594" s="85" t="s">
        <v>1109</v>
      </c>
      <c r="I594" s="82" t="s">
        <v>1776</v>
      </c>
      <c r="J594" s="82" t="s">
        <v>1777</v>
      </c>
      <c r="K594" s="82" t="s">
        <v>385</v>
      </c>
      <c r="L594" s="88" t="s">
        <v>310</v>
      </c>
      <c r="M594" s="54">
        <v>46630</v>
      </c>
      <c r="N594" s="55">
        <v>46655</v>
      </c>
    </row>
    <row r="595" spans="2:14" x14ac:dyDescent="0.25">
      <c r="B595" s="79" t="s">
        <v>381</v>
      </c>
      <c r="C595" s="82" t="s">
        <v>1056</v>
      </c>
      <c r="D595" s="82" t="s">
        <v>1753</v>
      </c>
      <c r="E595" s="82" t="s">
        <v>1775</v>
      </c>
      <c r="F595" s="82" t="s">
        <v>1278</v>
      </c>
      <c r="G595" s="85" t="s">
        <v>1278</v>
      </c>
      <c r="H595" s="85" t="s">
        <v>1278</v>
      </c>
      <c r="I595" s="82" t="s">
        <v>1778</v>
      </c>
      <c r="J595" s="82" t="s">
        <v>1779</v>
      </c>
      <c r="K595" s="82" t="s">
        <v>385</v>
      </c>
      <c r="L595" s="88" t="s">
        <v>310</v>
      </c>
      <c r="M595" s="54">
        <v>46714</v>
      </c>
      <c r="N595" s="55">
        <v>46737</v>
      </c>
    </row>
    <row r="596" spans="2:14" x14ac:dyDescent="0.25">
      <c r="B596" s="79" t="s">
        <v>381</v>
      </c>
      <c r="C596" s="82" t="s">
        <v>1056</v>
      </c>
      <c r="D596" s="82" t="s">
        <v>1753</v>
      </c>
      <c r="E596" s="82" t="s">
        <v>1775</v>
      </c>
      <c r="F596" s="82" t="s">
        <v>1061</v>
      </c>
      <c r="G596" s="85" t="s">
        <v>1061</v>
      </c>
      <c r="H596" s="85" t="s">
        <v>1061</v>
      </c>
      <c r="I596" s="82" t="s">
        <v>1780</v>
      </c>
      <c r="J596" s="82" t="s">
        <v>1781</v>
      </c>
      <c r="K596" s="82" t="s">
        <v>385</v>
      </c>
      <c r="L596" s="88" t="s">
        <v>310</v>
      </c>
      <c r="M596" s="54">
        <v>46753</v>
      </c>
      <c r="N596" s="55">
        <v>46776</v>
      </c>
    </row>
    <row r="597" spans="2:14" x14ac:dyDescent="0.25">
      <c r="B597" s="79" t="s">
        <v>381</v>
      </c>
      <c r="C597" s="82" t="s">
        <v>1056</v>
      </c>
      <c r="D597" s="82" t="s">
        <v>1753</v>
      </c>
      <c r="E597" s="82" t="s">
        <v>1782</v>
      </c>
      <c r="F597" s="82" t="s">
        <v>1109</v>
      </c>
      <c r="G597" s="85" t="s">
        <v>1109</v>
      </c>
      <c r="H597" s="85" t="s">
        <v>1109</v>
      </c>
      <c r="I597" s="82" t="s">
        <v>1783</v>
      </c>
      <c r="J597" s="82" t="s">
        <v>1784</v>
      </c>
      <c r="K597" s="82" t="s">
        <v>385</v>
      </c>
      <c r="L597" s="88" t="s">
        <v>310</v>
      </c>
      <c r="M597" s="54">
        <v>46690</v>
      </c>
      <c r="N597" s="55">
        <v>46713</v>
      </c>
    </row>
    <row r="598" spans="2:14" x14ac:dyDescent="0.25">
      <c r="B598" s="79" t="s">
        <v>381</v>
      </c>
      <c r="C598" s="82" t="s">
        <v>1056</v>
      </c>
      <c r="D598" s="82" t="s">
        <v>1753</v>
      </c>
      <c r="E598" s="82" t="s">
        <v>1782</v>
      </c>
      <c r="F598" s="82" t="s">
        <v>1278</v>
      </c>
      <c r="G598" s="85" t="s">
        <v>1278</v>
      </c>
      <c r="H598" s="85" t="s">
        <v>1278</v>
      </c>
      <c r="I598" s="82" t="s">
        <v>1785</v>
      </c>
      <c r="J598" s="82" t="s">
        <v>1786</v>
      </c>
      <c r="K598" s="82" t="s">
        <v>385</v>
      </c>
      <c r="L598" s="88" t="s">
        <v>310</v>
      </c>
      <c r="M598" s="54">
        <v>46690</v>
      </c>
      <c r="N598" s="55">
        <v>46713</v>
      </c>
    </row>
    <row r="599" spans="2:14" x14ac:dyDescent="0.25">
      <c r="B599" s="79" t="s">
        <v>381</v>
      </c>
      <c r="C599" s="82" t="s">
        <v>1056</v>
      </c>
      <c r="D599" s="82" t="s">
        <v>1753</v>
      </c>
      <c r="E599" s="82" t="s">
        <v>1782</v>
      </c>
      <c r="F599" s="82" t="s">
        <v>1061</v>
      </c>
      <c r="G599" s="85" t="s">
        <v>1061</v>
      </c>
      <c r="H599" s="85" t="s">
        <v>1061</v>
      </c>
      <c r="I599" s="82" t="s">
        <v>1787</v>
      </c>
      <c r="J599" s="82" t="s">
        <v>1788</v>
      </c>
      <c r="K599" s="82" t="s">
        <v>385</v>
      </c>
      <c r="L599" s="88" t="s">
        <v>310</v>
      </c>
      <c r="M599" s="54">
        <v>46714</v>
      </c>
      <c r="N599" s="55">
        <v>46737</v>
      </c>
    </row>
    <row r="600" spans="2:14" x14ac:dyDescent="0.25">
      <c r="B600" s="79" t="s">
        <v>381</v>
      </c>
      <c r="C600" s="82" t="s">
        <v>1056</v>
      </c>
      <c r="D600" s="82" t="s">
        <v>1753</v>
      </c>
      <c r="E600" s="82" t="s">
        <v>1789</v>
      </c>
      <c r="F600" s="82" t="s">
        <v>1109</v>
      </c>
      <c r="G600" s="85" t="s">
        <v>1109</v>
      </c>
      <c r="H600" s="85" t="s">
        <v>1109</v>
      </c>
      <c r="I600" s="82" t="s">
        <v>1790</v>
      </c>
      <c r="J600" s="82" t="s">
        <v>1791</v>
      </c>
      <c r="K600" s="82" t="s">
        <v>385</v>
      </c>
      <c r="L600" s="88" t="s">
        <v>310</v>
      </c>
      <c r="M600" s="54">
        <v>46690</v>
      </c>
      <c r="N600" s="55">
        <v>46713</v>
      </c>
    </row>
    <row r="601" spans="2:14" x14ac:dyDescent="0.25">
      <c r="B601" s="79" t="s">
        <v>381</v>
      </c>
      <c r="C601" s="82" t="s">
        <v>1056</v>
      </c>
      <c r="D601" s="82" t="s">
        <v>1753</v>
      </c>
      <c r="E601" s="82" t="s">
        <v>1789</v>
      </c>
      <c r="F601" s="82" t="s">
        <v>1278</v>
      </c>
      <c r="G601" s="85" t="s">
        <v>1278</v>
      </c>
      <c r="H601" s="85" t="s">
        <v>1278</v>
      </c>
      <c r="I601" s="82" t="s">
        <v>1792</v>
      </c>
      <c r="J601" s="82" t="s">
        <v>1793</v>
      </c>
      <c r="K601" s="82" t="s">
        <v>385</v>
      </c>
      <c r="L601" s="88" t="s">
        <v>310</v>
      </c>
      <c r="M601" s="54">
        <v>46753</v>
      </c>
      <c r="N601" s="55">
        <v>46776</v>
      </c>
    </row>
    <row r="602" spans="2:14" x14ac:dyDescent="0.25">
      <c r="B602" s="79" t="s">
        <v>381</v>
      </c>
      <c r="C602" s="82" t="s">
        <v>1056</v>
      </c>
      <c r="D602" s="82" t="s">
        <v>1753</v>
      </c>
      <c r="E602" s="82" t="s">
        <v>1789</v>
      </c>
      <c r="F602" s="82" t="s">
        <v>1061</v>
      </c>
      <c r="G602" s="85" t="s">
        <v>1061</v>
      </c>
      <c r="H602" s="85" t="s">
        <v>1061</v>
      </c>
      <c r="I602" s="82" t="s">
        <v>1794</v>
      </c>
      <c r="J602" s="82" t="s">
        <v>1795</v>
      </c>
      <c r="K602" s="82" t="s">
        <v>385</v>
      </c>
      <c r="L602" s="88" t="s">
        <v>310</v>
      </c>
      <c r="M602" s="54">
        <v>46753</v>
      </c>
      <c r="N602" s="55">
        <v>46776</v>
      </c>
    </row>
    <row r="603" spans="2:14" x14ac:dyDescent="0.25">
      <c r="B603" s="79" t="s">
        <v>381</v>
      </c>
      <c r="C603" s="82" t="s">
        <v>1056</v>
      </c>
      <c r="D603" s="82" t="s">
        <v>1753</v>
      </c>
      <c r="E603" s="82" t="s">
        <v>1796</v>
      </c>
      <c r="F603" s="82" t="s">
        <v>1109</v>
      </c>
      <c r="G603" s="85" t="s">
        <v>1109</v>
      </c>
      <c r="H603" s="85" t="s">
        <v>1109</v>
      </c>
      <c r="I603" s="82" t="s">
        <v>1797</v>
      </c>
      <c r="J603" s="82" t="s">
        <v>1798</v>
      </c>
      <c r="K603" s="82" t="s">
        <v>385</v>
      </c>
      <c r="L603" s="88" t="s">
        <v>310</v>
      </c>
      <c r="M603" s="54">
        <v>46728</v>
      </c>
      <c r="N603" s="55">
        <v>46751</v>
      </c>
    </row>
    <row r="604" spans="2:14" x14ac:dyDescent="0.25">
      <c r="B604" s="79" t="s">
        <v>381</v>
      </c>
      <c r="C604" s="82" t="s">
        <v>1056</v>
      </c>
      <c r="D604" s="82" t="s">
        <v>1753</v>
      </c>
      <c r="E604" s="82" t="s">
        <v>1796</v>
      </c>
      <c r="F604" s="82" t="s">
        <v>1278</v>
      </c>
      <c r="G604" s="85" t="s">
        <v>1278</v>
      </c>
      <c r="H604" s="85" t="s">
        <v>1278</v>
      </c>
      <c r="I604" s="82" t="s">
        <v>1799</v>
      </c>
      <c r="J604" s="82" t="s">
        <v>1800</v>
      </c>
      <c r="K604" s="82" t="s">
        <v>385</v>
      </c>
      <c r="L604" s="88" t="s">
        <v>310</v>
      </c>
      <c r="M604" s="54">
        <v>46728</v>
      </c>
      <c r="N604" s="55">
        <v>46751</v>
      </c>
    </row>
    <row r="605" spans="2:14" x14ac:dyDescent="0.25">
      <c r="B605" s="79" t="s">
        <v>381</v>
      </c>
      <c r="C605" s="82" t="s">
        <v>1056</v>
      </c>
      <c r="D605" s="82" t="s">
        <v>1753</v>
      </c>
      <c r="E605" s="82" t="s">
        <v>1796</v>
      </c>
      <c r="F605" s="82" t="s">
        <v>1061</v>
      </c>
      <c r="G605" s="85" t="s">
        <v>1061</v>
      </c>
      <c r="H605" s="85" t="s">
        <v>1061</v>
      </c>
      <c r="I605" s="82" t="s">
        <v>1801</v>
      </c>
      <c r="J605" s="82" t="s">
        <v>1802</v>
      </c>
      <c r="K605" s="82" t="s">
        <v>385</v>
      </c>
      <c r="L605" s="88" t="s">
        <v>310</v>
      </c>
      <c r="M605" s="54">
        <v>46739</v>
      </c>
      <c r="N605" s="55">
        <v>46762</v>
      </c>
    </row>
    <row r="606" spans="2:14" x14ac:dyDescent="0.25">
      <c r="B606" s="79" t="s">
        <v>381</v>
      </c>
      <c r="C606" s="82" t="s">
        <v>1056</v>
      </c>
      <c r="D606" s="82" t="s">
        <v>1753</v>
      </c>
      <c r="E606" s="82" t="s">
        <v>1803</v>
      </c>
      <c r="F606" s="82" t="s">
        <v>1109</v>
      </c>
      <c r="G606" s="85" t="s">
        <v>1109</v>
      </c>
      <c r="H606" s="85" t="s">
        <v>1109</v>
      </c>
      <c r="I606" s="82" t="s">
        <v>1804</v>
      </c>
      <c r="J606" s="82" t="s">
        <v>1805</v>
      </c>
      <c r="K606" s="82" t="s">
        <v>385</v>
      </c>
      <c r="L606" s="88" t="s">
        <v>310</v>
      </c>
      <c r="M606" s="54">
        <v>46728</v>
      </c>
      <c r="N606" s="55">
        <v>46751</v>
      </c>
    </row>
    <row r="607" spans="2:14" x14ac:dyDescent="0.25">
      <c r="B607" s="79" t="s">
        <v>381</v>
      </c>
      <c r="C607" s="82" t="s">
        <v>1056</v>
      </c>
      <c r="D607" s="82" t="s">
        <v>1753</v>
      </c>
      <c r="E607" s="82" t="s">
        <v>1803</v>
      </c>
      <c r="F607" s="82" t="s">
        <v>1278</v>
      </c>
      <c r="G607" s="85" t="s">
        <v>1278</v>
      </c>
      <c r="H607" s="85" t="s">
        <v>1278</v>
      </c>
      <c r="I607" s="82" t="s">
        <v>1806</v>
      </c>
      <c r="J607" s="82" t="s">
        <v>1807</v>
      </c>
      <c r="K607" s="82" t="s">
        <v>385</v>
      </c>
      <c r="L607" s="88" t="s">
        <v>310</v>
      </c>
      <c r="M607" s="54">
        <v>46728</v>
      </c>
      <c r="N607" s="55">
        <v>46751</v>
      </c>
    </row>
    <row r="608" spans="2:14" x14ac:dyDescent="0.25">
      <c r="B608" s="79" t="s">
        <v>381</v>
      </c>
      <c r="C608" s="82" t="s">
        <v>1056</v>
      </c>
      <c r="D608" s="82" t="s">
        <v>1753</v>
      </c>
      <c r="E608" s="82" t="s">
        <v>1803</v>
      </c>
      <c r="F608" s="82" t="s">
        <v>1061</v>
      </c>
      <c r="G608" s="85" t="s">
        <v>1061</v>
      </c>
      <c r="H608" s="85" t="s">
        <v>1061</v>
      </c>
      <c r="I608" s="82" t="s">
        <v>1808</v>
      </c>
      <c r="J608" s="82" t="s">
        <v>1809</v>
      </c>
      <c r="K608" s="82" t="s">
        <v>385</v>
      </c>
      <c r="L608" s="88" t="s">
        <v>310</v>
      </c>
      <c r="M608" s="54">
        <v>46739</v>
      </c>
      <c r="N608" s="55">
        <v>46762</v>
      </c>
    </row>
    <row r="609" spans="2:14" x14ac:dyDescent="0.25">
      <c r="B609" s="79" t="s">
        <v>381</v>
      </c>
      <c r="C609" s="82" t="s">
        <v>1056</v>
      </c>
      <c r="D609" s="82" t="s">
        <v>1753</v>
      </c>
      <c r="E609" s="82" t="s">
        <v>1810</v>
      </c>
      <c r="F609" s="82" t="s">
        <v>1109</v>
      </c>
      <c r="G609" s="85" t="s">
        <v>1109</v>
      </c>
      <c r="H609" s="85" t="s">
        <v>1109</v>
      </c>
      <c r="I609" s="82" t="s">
        <v>1811</v>
      </c>
      <c r="J609" s="82" t="s">
        <v>1812</v>
      </c>
      <c r="K609" s="82" t="s">
        <v>385</v>
      </c>
      <c r="L609" s="88" t="s">
        <v>310</v>
      </c>
      <c r="M609" s="54">
        <v>46728</v>
      </c>
      <c r="N609" s="55">
        <v>46751</v>
      </c>
    </row>
    <row r="610" spans="2:14" x14ac:dyDescent="0.25">
      <c r="B610" s="79" t="s">
        <v>381</v>
      </c>
      <c r="C610" s="82" t="s">
        <v>1056</v>
      </c>
      <c r="D610" s="82" t="s">
        <v>1753</v>
      </c>
      <c r="E610" s="82" t="s">
        <v>1810</v>
      </c>
      <c r="F610" s="82" t="s">
        <v>1278</v>
      </c>
      <c r="G610" s="85" t="s">
        <v>1278</v>
      </c>
      <c r="H610" s="85" t="s">
        <v>1278</v>
      </c>
      <c r="I610" s="82" t="s">
        <v>1813</v>
      </c>
      <c r="J610" s="82" t="s">
        <v>1814</v>
      </c>
      <c r="K610" s="82" t="s">
        <v>385</v>
      </c>
      <c r="L610" s="88" t="s">
        <v>310</v>
      </c>
      <c r="M610" s="54">
        <v>46728</v>
      </c>
      <c r="N610" s="55">
        <v>46751</v>
      </c>
    </row>
    <row r="611" spans="2:14" x14ac:dyDescent="0.25">
      <c r="B611" s="79" t="s">
        <v>381</v>
      </c>
      <c r="C611" s="82" t="s">
        <v>1056</v>
      </c>
      <c r="D611" s="82" t="s">
        <v>1753</v>
      </c>
      <c r="E611" s="82" t="s">
        <v>1810</v>
      </c>
      <c r="F611" s="82" t="s">
        <v>1061</v>
      </c>
      <c r="G611" s="85" t="s">
        <v>1061</v>
      </c>
      <c r="H611" s="85" t="s">
        <v>1061</v>
      </c>
      <c r="I611" s="82" t="s">
        <v>1815</v>
      </c>
      <c r="J611" s="82" t="s">
        <v>1816</v>
      </c>
      <c r="K611" s="82" t="s">
        <v>385</v>
      </c>
      <c r="L611" s="88" t="s">
        <v>214</v>
      </c>
      <c r="M611" s="54">
        <v>46769</v>
      </c>
      <c r="N611" s="55">
        <v>46784</v>
      </c>
    </row>
    <row r="612" spans="2:14" x14ac:dyDescent="0.25">
      <c r="B612" s="79" t="s">
        <v>381</v>
      </c>
      <c r="C612" s="82" t="s">
        <v>1056</v>
      </c>
      <c r="D612" s="82" t="s">
        <v>1753</v>
      </c>
      <c r="E612" s="82" t="s">
        <v>1817</v>
      </c>
      <c r="F612" s="82" t="s">
        <v>1109</v>
      </c>
      <c r="G612" s="85" t="s">
        <v>1109</v>
      </c>
      <c r="H612" s="85" t="s">
        <v>1109</v>
      </c>
      <c r="I612" s="82" t="s">
        <v>1818</v>
      </c>
      <c r="J612" s="82" t="s">
        <v>1819</v>
      </c>
      <c r="K612" s="82" t="s">
        <v>385</v>
      </c>
      <c r="L612" s="88" t="s">
        <v>310</v>
      </c>
      <c r="M612" s="54">
        <v>46753</v>
      </c>
      <c r="N612" s="55">
        <v>46776</v>
      </c>
    </row>
    <row r="613" spans="2:14" x14ac:dyDescent="0.25">
      <c r="B613" s="79" t="s">
        <v>381</v>
      </c>
      <c r="C613" s="82" t="s">
        <v>1056</v>
      </c>
      <c r="D613" s="82" t="s">
        <v>1753</v>
      </c>
      <c r="E613" s="82" t="s">
        <v>1817</v>
      </c>
      <c r="F613" s="82" t="s">
        <v>1278</v>
      </c>
      <c r="G613" s="85" t="s">
        <v>1278</v>
      </c>
      <c r="H613" s="85" t="s">
        <v>1278</v>
      </c>
      <c r="I613" s="82" t="s">
        <v>1820</v>
      </c>
      <c r="J613" s="82" t="s">
        <v>1821</v>
      </c>
      <c r="K613" s="82" t="s">
        <v>385</v>
      </c>
      <c r="L613" s="88" t="s">
        <v>310</v>
      </c>
      <c r="M613" s="54">
        <v>46753</v>
      </c>
      <c r="N613" s="55">
        <v>46776</v>
      </c>
    </row>
    <row r="614" spans="2:14" x14ac:dyDescent="0.25">
      <c r="B614" s="79" t="s">
        <v>381</v>
      </c>
      <c r="C614" s="82" t="s">
        <v>1056</v>
      </c>
      <c r="D614" s="82" t="s">
        <v>1753</v>
      </c>
      <c r="E614" s="82" t="s">
        <v>1817</v>
      </c>
      <c r="F614" s="82" t="s">
        <v>1061</v>
      </c>
      <c r="G614" s="85" t="s">
        <v>1061</v>
      </c>
      <c r="H614" s="85" t="s">
        <v>1061</v>
      </c>
      <c r="I614" s="82" t="s">
        <v>1822</v>
      </c>
      <c r="J614" s="82" t="s">
        <v>1823</v>
      </c>
      <c r="K614" s="82" t="s">
        <v>385</v>
      </c>
      <c r="L614" s="88" t="s">
        <v>214</v>
      </c>
      <c r="M614" s="54">
        <v>46769</v>
      </c>
      <c r="N614" s="55">
        <v>46784</v>
      </c>
    </row>
    <row r="615" spans="2:14" x14ac:dyDescent="0.25">
      <c r="B615" s="79" t="s">
        <v>381</v>
      </c>
      <c r="C615" s="82" t="s">
        <v>1056</v>
      </c>
      <c r="D615" s="82" t="s">
        <v>1753</v>
      </c>
      <c r="E615" s="82" t="s">
        <v>1824</v>
      </c>
      <c r="F615" s="82" t="s">
        <v>1109</v>
      </c>
      <c r="G615" s="85" t="s">
        <v>1109</v>
      </c>
      <c r="H615" s="85" t="s">
        <v>1109</v>
      </c>
      <c r="I615" s="82" t="s">
        <v>1825</v>
      </c>
      <c r="J615" s="82" t="s">
        <v>1826</v>
      </c>
      <c r="K615" s="82" t="s">
        <v>385</v>
      </c>
      <c r="L615" s="88" t="s">
        <v>310</v>
      </c>
      <c r="M615" s="54">
        <v>46753</v>
      </c>
      <c r="N615" s="55">
        <v>46776</v>
      </c>
    </row>
    <row r="616" spans="2:14" x14ac:dyDescent="0.25">
      <c r="B616" s="79" t="s">
        <v>381</v>
      </c>
      <c r="C616" s="82" t="s">
        <v>1056</v>
      </c>
      <c r="D616" s="82" t="s">
        <v>1753</v>
      </c>
      <c r="E616" s="82" t="s">
        <v>1824</v>
      </c>
      <c r="F616" s="82" t="s">
        <v>1278</v>
      </c>
      <c r="G616" s="85" t="s">
        <v>1278</v>
      </c>
      <c r="H616" s="85" t="s">
        <v>1278</v>
      </c>
      <c r="I616" s="82" t="s">
        <v>1827</v>
      </c>
      <c r="J616" s="82" t="s">
        <v>1828</v>
      </c>
      <c r="K616" s="82" t="s">
        <v>385</v>
      </c>
      <c r="L616" s="88" t="s">
        <v>310</v>
      </c>
      <c r="M616" s="54">
        <v>46753</v>
      </c>
      <c r="N616" s="55">
        <v>46776</v>
      </c>
    </row>
    <row r="617" spans="2:14" x14ac:dyDescent="0.25">
      <c r="B617" s="79" t="s">
        <v>381</v>
      </c>
      <c r="C617" s="82" t="s">
        <v>1056</v>
      </c>
      <c r="D617" s="82" t="s">
        <v>1753</v>
      </c>
      <c r="E617" s="82" t="s">
        <v>1824</v>
      </c>
      <c r="F617" s="82" t="s">
        <v>1061</v>
      </c>
      <c r="G617" s="85" t="s">
        <v>1061</v>
      </c>
      <c r="H617" s="85" t="s">
        <v>1061</v>
      </c>
      <c r="I617" s="82" t="s">
        <v>1829</v>
      </c>
      <c r="J617" s="82" t="s">
        <v>1830</v>
      </c>
      <c r="K617" s="82" t="s">
        <v>385</v>
      </c>
      <c r="L617" s="88" t="s">
        <v>214</v>
      </c>
      <c r="M617" s="54">
        <v>46761</v>
      </c>
      <c r="N617" s="55">
        <v>46776</v>
      </c>
    </row>
    <row r="618" spans="2:14" x14ac:dyDescent="0.25">
      <c r="B618" s="79" t="s">
        <v>381</v>
      </c>
      <c r="C618" s="82" t="s">
        <v>1056</v>
      </c>
      <c r="D618" s="82" t="s">
        <v>1753</v>
      </c>
      <c r="E618" s="82" t="s">
        <v>1831</v>
      </c>
      <c r="F618" s="82" t="s">
        <v>1109</v>
      </c>
      <c r="G618" s="85" t="s">
        <v>1109</v>
      </c>
      <c r="H618" s="85" t="s">
        <v>1109</v>
      </c>
      <c r="I618" s="82" t="s">
        <v>1832</v>
      </c>
      <c r="J618" s="82" t="s">
        <v>1833</v>
      </c>
      <c r="K618" s="82" t="s">
        <v>385</v>
      </c>
      <c r="L618" s="88" t="s">
        <v>310</v>
      </c>
      <c r="M618" s="54">
        <v>46791</v>
      </c>
      <c r="N618" s="55">
        <v>46819</v>
      </c>
    </row>
    <row r="619" spans="2:14" x14ac:dyDescent="0.25">
      <c r="B619" s="79" t="s">
        <v>381</v>
      </c>
      <c r="C619" s="82" t="s">
        <v>1056</v>
      </c>
      <c r="D619" s="82" t="s">
        <v>1753</v>
      </c>
      <c r="E619" s="82" t="s">
        <v>1831</v>
      </c>
      <c r="F619" s="82" t="s">
        <v>1278</v>
      </c>
      <c r="G619" s="85" t="s">
        <v>1278</v>
      </c>
      <c r="H619" s="85" t="s">
        <v>1278</v>
      </c>
      <c r="I619" s="82" t="s">
        <v>1834</v>
      </c>
      <c r="J619" s="82" t="s">
        <v>1835</v>
      </c>
      <c r="K619" s="82" t="s">
        <v>385</v>
      </c>
      <c r="L619" s="88" t="s">
        <v>214</v>
      </c>
      <c r="M619" s="54">
        <v>46799</v>
      </c>
      <c r="N619" s="55">
        <v>46819</v>
      </c>
    </row>
    <row r="620" spans="2:14" x14ac:dyDescent="0.25">
      <c r="B620" s="79" t="s">
        <v>381</v>
      </c>
      <c r="C620" s="82" t="s">
        <v>1056</v>
      </c>
      <c r="D620" s="82" t="s">
        <v>1753</v>
      </c>
      <c r="E620" s="82" t="s">
        <v>1831</v>
      </c>
      <c r="F620" s="82" t="s">
        <v>1061</v>
      </c>
      <c r="G620" s="85" t="s">
        <v>1061</v>
      </c>
      <c r="H620" s="85" t="s">
        <v>1061</v>
      </c>
      <c r="I620" s="82" t="s">
        <v>1836</v>
      </c>
      <c r="J620" s="82" t="s">
        <v>1837</v>
      </c>
      <c r="K620" s="82" t="s">
        <v>385</v>
      </c>
      <c r="L620" s="88" t="s">
        <v>214</v>
      </c>
      <c r="M620" s="54">
        <v>46799</v>
      </c>
      <c r="N620" s="55">
        <v>46819</v>
      </c>
    </row>
    <row r="621" spans="2:14" x14ac:dyDescent="0.25">
      <c r="B621" s="79" t="s">
        <v>381</v>
      </c>
      <c r="C621" s="82" t="s">
        <v>1838</v>
      </c>
      <c r="D621" s="82" t="s">
        <v>1839</v>
      </c>
      <c r="E621" s="82" t="s">
        <v>1839</v>
      </c>
      <c r="F621" s="82" t="s">
        <v>1839</v>
      </c>
      <c r="G621" s="85" t="s">
        <v>1839</v>
      </c>
      <c r="H621" s="85" t="s">
        <v>1840</v>
      </c>
      <c r="I621" s="82" t="s">
        <v>1841</v>
      </c>
      <c r="J621" s="82" t="s">
        <v>1842</v>
      </c>
      <c r="K621" s="82" t="s">
        <v>385</v>
      </c>
      <c r="L621" s="88" t="s">
        <v>317</v>
      </c>
      <c r="M621" s="54">
        <v>46006</v>
      </c>
      <c r="N621" s="55">
        <v>46037</v>
      </c>
    </row>
    <row r="622" spans="2:14" x14ac:dyDescent="0.25">
      <c r="B622" s="79" t="s">
        <v>381</v>
      </c>
      <c r="C622" s="82" t="s">
        <v>1838</v>
      </c>
      <c r="D622" s="82" t="s">
        <v>1839</v>
      </c>
      <c r="E622" s="82" t="s">
        <v>1839</v>
      </c>
      <c r="F622" s="82" t="s">
        <v>1839</v>
      </c>
      <c r="G622" s="85" t="s">
        <v>1839</v>
      </c>
      <c r="H622" s="85" t="s">
        <v>1843</v>
      </c>
      <c r="I622" s="82" t="s">
        <v>1844</v>
      </c>
      <c r="J622" s="82" t="s">
        <v>1845</v>
      </c>
      <c r="K622" s="82" t="s">
        <v>385</v>
      </c>
      <c r="L622" s="88" t="s">
        <v>317</v>
      </c>
      <c r="M622" s="54">
        <v>46039</v>
      </c>
      <c r="N622" s="55">
        <v>46070</v>
      </c>
    </row>
    <row r="623" spans="2:14" x14ac:dyDescent="0.25">
      <c r="B623" s="79" t="s">
        <v>381</v>
      </c>
      <c r="C623" s="82" t="s">
        <v>1838</v>
      </c>
      <c r="D623" s="82" t="s">
        <v>1839</v>
      </c>
      <c r="E623" s="82" t="s">
        <v>1839</v>
      </c>
      <c r="F623" s="82" t="s">
        <v>1839</v>
      </c>
      <c r="G623" s="85" t="s">
        <v>1839</v>
      </c>
      <c r="H623" s="85" t="s">
        <v>1846</v>
      </c>
      <c r="I623" s="82" t="s">
        <v>1847</v>
      </c>
      <c r="J623" s="82" t="s">
        <v>1848</v>
      </c>
      <c r="K623" s="82" t="s">
        <v>385</v>
      </c>
      <c r="L623" s="88" t="s">
        <v>317</v>
      </c>
      <c r="M623" s="54">
        <v>46071</v>
      </c>
      <c r="N623" s="55">
        <v>46106</v>
      </c>
    </row>
    <row r="624" spans="2:14" x14ac:dyDescent="0.25">
      <c r="B624" s="79" t="s">
        <v>381</v>
      </c>
      <c r="C624" s="82" t="s">
        <v>1838</v>
      </c>
      <c r="D624" s="82" t="s">
        <v>1839</v>
      </c>
      <c r="E624" s="82" t="s">
        <v>1839</v>
      </c>
      <c r="F624" s="82" t="s">
        <v>1839</v>
      </c>
      <c r="G624" s="85" t="s">
        <v>1839</v>
      </c>
      <c r="H624" s="85" t="s">
        <v>1849</v>
      </c>
      <c r="I624" s="82" t="s">
        <v>1850</v>
      </c>
      <c r="J624" s="82" t="s">
        <v>1851</v>
      </c>
      <c r="K624" s="82" t="s">
        <v>385</v>
      </c>
      <c r="L624" s="88" t="s">
        <v>317</v>
      </c>
      <c r="M624" s="54">
        <v>46107</v>
      </c>
      <c r="N624" s="55">
        <v>46139</v>
      </c>
    </row>
    <row r="625" spans="2:14" x14ac:dyDescent="0.25">
      <c r="B625" s="79" t="s">
        <v>381</v>
      </c>
      <c r="C625" s="82" t="s">
        <v>1838</v>
      </c>
      <c r="D625" s="82" t="s">
        <v>1852</v>
      </c>
      <c r="E625" s="82" t="s">
        <v>1852</v>
      </c>
      <c r="F625" s="82" t="s">
        <v>1852</v>
      </c>
      <c r="G625" s="85" t="s">
        <v>1852</v>
      </c>
      <c r="H625" s="85" t="s">
        <v>405</v>
      </c>
      <c r="I625" s="82" t="s">
        <v>1853</v>
      </c>
      <c r="J625" s="82" t="s">
        <v>1854</v>
      </c>
      <c r="K625" s="82" t="s">
        <v>385</v>
      </c>
      <c r="L625" s="88" t="s">
        <v>317</v>
      </c>
      <c r="M625" s="54">
        <v>45973</v>
      </c>
      <c r="N625" s="55">
        <v>46005</v>
      </c>
    </row>
    <row r="626" spans="2:14" x14ac:dyDescent="0.25">
      <c r="B626" s="79" t="s">
        <v>381</v>
      </c>
      <c r="C626" s="82" t="s">
        <v>1838</v>
      </c>
      <c r="D626" s="82" t="s">
        <v>1852</v>
      </c>
      <c r="E626" s="82" t="s">
        <v>1852</v>
      </c>
      <c r="F626" s="82" t="s">
        <v>1852</v>
      </c>
      <c r="G626" s="85" t="s">
        <v>1852</v>
      </c>
      <c r="H626" s="85" t="s">
        <v>1855</v>
      </c>
      <c r="I626" s="82" t="s">
        <v>1856</v>
      </c>
      <c r="J626" s="82" t="s">
        <v>1857</v>
      </c>
      <c r="K626" s="82" t="s">
        <v>385</v>
      </c>
      <c r="L626" s="88" t="s">
        <v>317</v>
      </c>
      <c r="M626" s="54">
        <v>46006</v>
      </c>
      <c r="N626" s="55">
        <v>46037</v>
      </c>
    </row>
    <row r="627" spans="2:14" x14ac:dyDescent="0.25">
      <c r="B627" s="79" t="s">
        <v>381</v>
      </c>
      <c r="C627" s="82" t="s">
        <v>1838</v>
      </c>
      <c r="D627" s="82" t="s">
        <v>1852</v>
      </c>
      <c r="E627" s="82" t="s">
        <v>1852</v>
      </c>
      <c r="F627" s="82" t="s">
        <v>1852</v>
      </c>
      <c r="G627" s="85" t="s">
        <v>1852</v>
      </c>
      <c r="H627" s="85" t="s">
        <v>1858</v>
      </c>
      <c r="I627" s="82" t="s">
        <v>1859</v>
      </c>
      <c r="J627" s="82" t="s">
        <v>1860</v>
      </c>
      <c r="K627" s="82" t="s">
        <v>385</v>
      </c>
      <c r="L627" s="88" t="s">
        <v>317</v>
      </c>
      <c r="M627" s="54">
        <v>46039</v>
      </c>
      <c r="N627" s="55">
        <v>46070</v>
      </c>
    </row>
    <row r="628" spans="2:14" x14ac:dyDescent="0.25">
      <c r="B628" s="79" t="s">
        <v>381</v>
      </c>
      <c r="C628" s="82" t="s">
        <v>1838</v>
      </c>
      <c r="D628" s="82" t="s">
        <v>1838</v>
      </c>
      <c r="E628" s="82" t="s">
        <v>1861</v>
      </c>
      <c r="F628" s="82" t="s">
        <v>1861</v>
      </c>
      <c r="G628" s="85" t="s">
        <v>1861</v>
      </c>
      <c r="H628" s="85" t="s">
        <v>405</v>
      </c>
      <c r="I628" s="82" t="s">
        <v>1862</v>
      </c>
      <c r="J628" s="82" t="s">
        <v>1863</v>
      </c>
      <c r="K628" s="82" t="s">
        <v>385</v>
      </c>
      <c r="L628" s="88" t="s">
        <v>310</v>
      </c>
      <c r="M628" s="54">
        <v>46085</v>
      </c>
      <c r="N628" s="55">
        <v>46111</v>
      </c>
    </row>
    <row r="629" spans="2:14" x14ac:dyDescent="0.25">
      <c r="B629" s="79" t="s">
        <v>381</v>
      </c>
      <c r="C629" s="82" t="s">
        <v>1838</v>
      </c>
      <c r="D629" s="82" t="s">
        <v>1838</v>
      </c>
      <c r="E629" s="82" t="s">
        <v>1861</v>
      </c>
      <c r="F629" s="82" t="s">
        <v>1861</v>
      </c>
      <c r="G629" s="85" t="s">
        <v>1861</v>
      </c>
      <c r="H629" s="85" t="s">
        <v>400</v>
      </c>
      <c r="I629" s="82" t="s">
        <v>1864</v>
      </c>
      <c r="J629" s="82" t="s">
        <v>1865</v>
      </c>
      <c r="K629" s="82" t="s">
        <v>385</v>
      </c>
      <c r="L629" s="88" t="s">
        <v>317</v>
      </c>
      <c r="M629" s="54">
        <v>46154</v>
      </c>
      <c r="N629" s="55">
        <v>46189</v>
      </c>
    </row>
    <row r="630" spans="2:14" x14ac:dyDescent="0.25">
      <c r="B630" s="79" t="s">
        <v>381</v>
      </c>
      <c r="C630" s="82" t="s">
        <v>1838</v>
      </c>
      <c r="D630" s="82" t="s">
        <v>1838</v>
      </c>
      <c r="E630" s="82" t="s">
        <v>405</v>
      </c>
      <c r="F630" s="82" t="s">
        <v>406</v>
      </c>
      <c r="G630" s="85" t="s">
        <v>406</v>
      </c>
      <c r="H630" s="85" t="s">
        <v>406</v>
      </c>
      <c r="I630" s="82" t="s">
        <v>1866</v>
      </c>
      <c r="J630" s="82" t="s">
        <v>1867</v>
      </c>
      <c r="K630" s="82" t="s">
        <v>385</v>
      </c>
      <c r="L630" s="88" t="s">
        <v>317</v>
      </c>
      <c r="M630" s="54">
        <v>46294</v>
      </c>
      <c r="N630" s="55">
        <v>46326</v>
      </c>
    </row>
    <row r="631" spans="2:14" x14ac:dyDescent="0.25">
      <c r="B631" s="79" t="s">
        <v>381</v>
      </c>
      <c r="C631" s="82" t="s">
        <v>1838</v>
      </c>
      <c r="D631" s="82" t="s">
        <v>1838</v>
      </c>
      <c r="E631" s="82" t="s">
        <v>405</v>
      </c>
      <c r="F631" s="82" t="s">
        <v>408</v>
      </c>
      <c r="G631" s="85" t="s">
        <v>408</v>
      </c>
      <c r="H631" s="85" t="s">
        <v>408</v>
      </c>
      <c r="I631" s="82" t="s">
        <v>1868</v>
      </c>
      <c r="J631" s="82" t="s">
        <v>1869</v>
      </c>
      <c r="K631" s="82" t="s">
        <v>385</v>
      </c>
      <c r="L631" s="88" t="s">
        <v>317</v>
      </c>
      <c r="M631" s="54">
        <v>46260</v>
      </c>
      <c r="N631" s="55">
        <v>46293</v>
      </c>
    </row>
    <row r="632" spans="2:14" x14ac:dyDescent="0.25">
      <c r="B632" s="79" t="s">
        <v>381</v>
      </c>
      <c r="C632" s="82" t="s">
        <v>1838</v>
      </c>
      <c r="D632" s="82" t="s">
        <v>1838</v>
      </c>
      <c r="E632" s="82" t="s">
        <v>405</v>
      </c>
      <c r="F632" s="82" t="s">
        <v>411</v>
      </c>
      <c r="G632" s="85" t="s">
        <v>411</v>
      </c>
      <c r="H632" s="85" t="s">
        <v>411</v>
      </c>
      <c r="I632" s="82" t="s">
        <v>1870</v>
      </c>
      <c r="J632" s="82" t="s">
        <v>1871</v>
      </c>
      <c r="K632" s="82" t="s">
        <v>385</v>
      </c>
      <c r="L632" s="88" t="s">
        <v>317</v>
      </c>
      <c r="M632" s="54">
        <v>46159</v>
      </c>
      <c r="N632" s="55">
        <v>46194</v>
      </c>
    </row>
    <row r="633" spans="2:14" x14ac:dyDescent="0.25">
      <c r="B633" s="79" t="s">
        <v>381</v>
      </c>
      <c r="C633" s="82" t="s">
        <v>1838</v>
      </c>
      <c r="D633" s="82" t="s">
        <v>1838</v>
      </c>
      <c r="E633" s="82" t="s">
        <v>405</v>
      </c>
      <c r="F633" s="82" t="s">
        <v>413</v>
      </c>
      <c r="G633" s="85" t="s">
        <v>413</v>
      </c>
      <c r="H633" s="85" t="s">
        <v>413</v>
      </c>
      <c r="I633" s="82" t="s">
        <v>1872</v>
      </c>
      <c r="J633" s="82" t="s">
        <v>1873</v>
      </c>
      <c r="K633" s="82" t="s">
        <v>385</v>
      </c>
      <c r="L633" s="88" t="s">
        <v>317</v>
      </c>
      <c r="M633" s="54">
        <v>46195</v>
      </c>
      <c r="N633" s="55">
        <v>46226</v>
      </c>
    </row>
    <row r="634" spans="2:14" x14ac:dyDescent="0.25">
      <c r="B634" s="79" t="s">
        <v>381</v>
      </c>
      <c r="C634" s="82" t="s">
        <v>1838</v>
      </c>
      <c r="D634" s="82" t="s">
        <v>1838</v>
      </c>
      <c r="E634" s="82" t="s">
        <v>405</v>
      </c>
      <c r="F634" s="82" t="s">
        <v>415</v>
      </c>
      <c r="G634" s="85" t="s">
        <v>415</v>
      </c>
      <c r="H634" s="85" t="s">
        <v>415</v>
      </c>
      <c r="I634" s="82" t="s">
        <v>1874</v>
      </c>
      <c r="J634" s="82" t="s">
        <v>1875</v>
      </c>
      <c r="K634" s="82" t="s">
        <v>385</v>
      </c>
      <c r="L634" s="88" t="s">
        <v>317</v>
      </c>
      <c r="M634" s="54">
        <v>46228</v>
      </c>
      <c r="N634" s="55">
        <v>46259</v>
      </c>
    </row>
    <row r="635" spans="2:14" x14ac:dyDescent="0.25">
      <c r="B635" s="79" t="s">
        <v>381</v>
      </c>
      <c r="C635" s="82" t="s">
        <v>1838</v>
      </c>
      <c r="D635" s="82" t="s">
        <v>1838</v>
      </c>
      <c r="E635" s="82" t="s">
        <v>958</v>
      </c>
      <c r="F635" s="82" t="s">
        <v>958</v>
      </c>
      <c r="G635" s="85" t="s">
        <v>958</v>
      </c>
      <c r="H635" s="85" t="s">
        <v>958</v>
      </c>
      <c r="I635" s="82" t="s">
        <v>1876</v>
      </c>
      <c r="J635" s="82" t="s">
        <v>1877</v>
      </c>
      <c r="K635" s="82" t="s">
        <v>385</v>
      </c>
      <c r="L635" s="88" t="s">
        <v>317</v>
      </c>
      <c r="M635" s="54">
        <v>46392</v>
      </c>
      <c r="N635" s="55">
        <v>46424</v>
      </c>
    </row>
    <row r="636" spans="2:14" x14ac:dyDescent="0.25">
      <c r="B636" s="79" t="s">
        <v>381</v>
      </c>
      <c r="C636" s="82" t="s">
        <v>1838</v>
      </c>
      <c r="D636" s="82" t="s">
        <v>1838</v>
      </c>
      <c r="E636" s="82" t="s">
        <v>1878</v>
      </c>
      <c r="F636" s="82" t="s">
        <v>1878</v>
      </c>
      <c r="G636" s="85" t="s">
        <v>1878</v>
      </c>
      <c r="H636" s="85" t="s">
        <v>1878</v>
      </c>
      <c r="I636" s="82" t="s">
        <v>1879</v>
      </c>
      <c r="J636" s="82" t="s">
        <v>1880</v>
      </c>
      <c r="K636" s="82" t="s">
        <v>385</v>
      </c>
      <c r="L636" s="88" t="s">
        <v>317</v>
      </c>
      <c r="M636" s="54">
        <v>46359</v>
      </c>
      <c r="N636" s="55">
        <v>46391</v>
      </c>
    </row>
    <row r="637" spans="2:14" x14ac:dyDescent="0.25">
      <c r="B637" s="79" t="s">
        <v>381</v>
      </c>
      <c r="C637" s="82" t="s">
        <v>1838</v>
      </c>
      <c r="D637" s="82" t="s">
        <v>1838</v>
      </c>
      <c r="E637" s="82" t="s">
        <v>1881</v>
      </c>
      <c r="F637" s="82" t="s">
        <v>1881</v>
      </c>
      <c r="G637" s="85" t="s">
        <v>1881</v>
      </c>
      <c r="H637" s="85" t="s">
        <v>1881</v>
      </c>
      <c r="I637" s="82" t="s">
        <v>1882</v>
      </c>
      <c r="J637" s="82" t="s">
        <v>1883</v>
      </c>
      <c r="K637" s="82" t="s">
        <v>385</v>
      </c>
      <c r="L637" s="88" t="s">
        <v>317</v>
      </c>
      <c r="M637" s="54">
        <v>46392</v>
      </c>
      <c r="N637" s="55">
        <v>46424</v>
      </c>
    </row>
    <row r="638" spans="2:14" x14ac:dyDescent="0.25">
      <c r="B638" s="79" t="s">
        <v>381</v>
      </c>
      <c r="C638" s="82" t="s">
        <v>1838</v>
      </c>
      <c r="D638" s="82" t="s">
        <v>1838</v>
      </c>
      <c r="E638" s="82" t="s">
        <v>1858</v>
      </c>
      <c r="F638" s="82" t="s">
        <v>1858</v>
      </c>
      <c r="G638" s="85" t="s">
        <v>1858</v>
      </c>
      <c r="H638" s="85" t="s">
        <v>1858</v>
      </c>
      <c r="I638" s="82" t="s">
        <v>1884</v>
      </c>
      <c r="J638" s="82" t="s">
        <v>1885</v>
      </c>
      <c r="K638" s="82" t="s">
        <v>385</v>
      </c>
      <c r="L638" s="88" t="s">
        <v>317</v>
      </c>
      <c r="M638" s="54">
        <v>46475</v>
      </c>
      <c r="N638" s="55">
        <v>46506</v>
      </c>
    </row>
    <row r="639" spans="2:14" x14ac:dyDescent="0.25">
      <c r="B639" s="79" t="s">
        <v>381</v>
      </c>
      <c r="C639" s="82" t="s">
        <v>1838</v>
      </c>
      <c r="D639" s="82" t="s">
        <v>1838</v>
      </c>
      <c r="E639" s="82" t="s">
        <v>1753</v>
      </c>
      <c r="F639" s="82" t="s">
        <v>1753</v>
      </c>
      <c r="G639" s="85" t="s">
        <v>1753</v>
      </c>
      <c r="H639" s="85" t="s">
        <v>1753</v>
      </c>
      <c r="I639" s="82" t="s">
        <v>1886</v>
      </c>
      <c r="J639" s="82" t="s">
        <v>1887</v>
      </c>
      <c r="K639" s="82" t="s">
        <v>385</v>
      </c>
      <c r="L639" s="88" t="s">
        <v>317</v>
      </c>
      <c r="M639" s="54">
        <v>46559</v>
      </c>
      <c r="N639" s="55">
        <v>46590</v>
      </c>
    </row>
    <row r="640" spans="2:14" x14ac:dyDescent="0.25">
      <c r="B640" s="79" t="s">
        <v>381</v>
      </c>
      <c r="C640" s="82" t="s">
        <v>1838</v>
      </c>
      <c r="D640" s="82" t="s">
        <v>1838</v>
      </c>
      <c r="E640" s="82" t="s">
        <v>1888</v>
      </c>
      <c r="F640" s="82" t="s">
        <v>1888</v>
      </c>
      <c r="G640" s="85" t="s">
        <v>1888</v>
      </c>
      <c r="H640" s="85" t="s">
        <v>1888</v>
      </c>
      <c r="I640" s="82" t="s">
        <v>1889</v>
      </c>
      <c r="J640" s="82" t="s">
        <v>1890</v>
      </c>
      <c r="K640" s="82" t="s">
        <v>385</v>
      </c>
      <c r="L640" s="88" t="s">
        <v>317</v>
      </c>
      <c r="M640" s="54">
        <v>46475</v>
      </c>
      <c r="N640" s="55">
        <v>46506</v>
      </c>
    </row>
    <row r="641" spans="2:14" x14ac:dyDescent="0.25">
      <c r="B641" s="79" t="s">
        <v>381</v>
      </c>
      <c r="C641" s="82" t="s">
        <v>1838</v>
      </c>
      <c r="D641" s="82" t="s">
        <v>1838</v>
      </c>
      <c r="E641" s="82" t="s">
        <v>1891</v>
      </c>
      <c r="F641" s="82" t="s">
        <v>1891</v>
      </c>
      <c r="G641" s="85" t="s">
        <v>1891</v>
      </c>
      <c r="H641" s="85" t="s">
        <v>1891</v>
      </c>
      <c r="I641" s="82" t="s">
        <v>1892</v>
      </c>
      <c r="J641" s="82" t="s">
        <v>1893</v>
      </c>
      <c r="K641" s="82" t="s">
        <v>385</v>
      </c>
      <c r="L641" s="88" t="s">
        <v>317</v>
      </c>
      <c r="M641" s="54">
        <v>46475</v>
      </c>
      <c r="N641" s="55">
        <v>46506</v>
      </c>
    </row>
    <row r="642" spans="2:14" x14ac:dyDescent="0.25">
      <c r="B642" s="79" t="s">
        <v>381</v>
      </c>
      <c r="C642" s="82" t="s">
        <v>1894</v>
      </c>
      <c r="D642" s="82" t="s">
        <v>1895</v>
      </c>
      <c r="E642" s="82" t="s">
        <v>1895</v>
      </c>
      <c r="F642" s="82" t="s">
        <v>1895</v>
      </c>
      <c r="G642" s="85" t="s">
        <v>1895</v>
      </c>
      <c r="H642" s="85" t="s">
        <v>1896</v>
      </c>
      <c r="I642" s="82" t="s">
        <v>1897</v>
      </c>
      <c r="J642" s="82" t="s">
        <v>1898</v>
      </c>
      <c r="K642" s="82" t="s">
        <v>385</v>
      </c>
      <c r="L642" s="88" t="s">
        <v>317</v>
      </c>
      <c r="M642" s="54">
        <v>46240</v>
      </c>
      <c r="N642" s="55">
        <v>46272</v>
      </c>
    </row>
    <row r="643" spans="2:14" x14ac:dyDescent="0.25">
      <c r="B643" s="79" t="s">
        <v>381</v>
      </c>
      <c r="C643" s="82" t="s">
        <v>1894</v>
      </c>
      <c r="D643" s="82" t="s">
        <v>1895</v>
      </c>
      <c r="E643" s="82" t="s">
        <v>1895</v>
      </c>
      <c r="F643" s="82" t="s">
        <v>1895</v>
      </c>
      <c r="G643" s="85" t="s">
        <v>1895</v>
      </c>
      <c r="H643" s="85" t="s">
        <v>1899</v>
      </c>
      <c r="I643" s="82" t="s">
        <v>1900</v>
      </c>
      <c r="J643" s="82" t="s">
        <v>1901</v>
      </c>
      <c r="K643" s="82" t="s">
        <v>385</v>
      </c>
      <c r="L643" s="88" t="s">
        <v>317</v>
      </c>
      <c r="M643" s="54">
        <v>46324</v>
      </c>
      <c r="N643" s="55">
        <v>46356</v>
      </c>
    </row>
    <row r="644" spans="2:14" x14ac:dyDescent="0.25">
      <c r="B644" s="79" t="s">
        <v>381</v>
      </c>
      <c r="C644" s="82" t="s">
        <v>1894</v>
      </c>
      <c r="D644" s="82" t="s">
        <v>1895</v>
      </c>
      <c r="E644" s="82" t="s">
        <v>1895</v>
      </c>
      <c r="F644" s="82" t="s">
        <v>1895</v>
      </c>
      <c r="G644" s="85" t="s">
        <v>1895</v>
      </c>
      <c r="H644" s="85" t="s">
        <v>1902</v>
      </c>
      <c r="I644" s="82" t="s">
        <v>1903</v>
      </c>
      <c r="J644" s="82" t="s">
        <v>1904</v>
      </c>
      <c r="K644" s="82" t="s">
        <v>385</v>
      </c>
      <c r="L644" s="88" t="s">
        <v>317</v>
      </c>
      <c r="M644" s="54">
        <v>46357</v>
      </c>
      <c r="N644" s="55">
        <v>46389</v>
      </c>
    </row>
    <row r="645" spans="2:14" x14ac:dyDescent="0.25">
      <c r="B645" s="79" t="s">
        <v>381</v>
      </c>
      <c r="C645" s="82" t="s">
        <v>1894</v>
      </c>
      <c r="D645" s="82" t="s">
        <v>1895</v>
      </c>
      <c r="E645" s="82" t="s">
        <v>1895</v>
      </c>
      <c r="F645" s="82" t="s">
        <v>1895</v>
      </c>
      <c r="G645" s="85" t="s">
        <v>1895</v>
      </c>
      <c r="H645" s="85" t="s">
        <v>1905</v>
      </c>
      <c r="I645" s="82" t="s">
        <v>1906</v>
      </c>
      <c r="J645" s="82" t="s">
        <v>1907</v>
      </c>
      <c r="K645" s="82" t="s">
        <v>385</v>
      </c>
      <c r="L645" s="88" t="s">
        <v>317</v>
      </c>
      <c r="M645" s="54">
        <v>46390</v>
      </c>
      <c r="N645" s="55">
        <v>46421</v>
      </c>
    </row>
    <row r="646" spans="2:14" x14ac:dyDescent="0.25">
      <c r="B646" s="79" t="s">
        <v>381</v>
      </c>
      <c r="C646" s="82" t="s">
        <v>1894</v>
      </c>
      <c r="D646" s="82" t="s">
        <v>1908</v>
      </c>
      <c r="E646" s="82" t="s">
        <v>1908</v>
      </c>
      <c r="F646" s="82" t="s">
        <v>1908</v>
      </c>
      <c r="G646" s="85" t="s">
        <v>1908</v>
      </c>
      <c r="H646" s="85" t="s">
        <v>1908</v>
      </c>
      <c r="I646" s="82" t="s">
        <v>1909</v>
      </c>
      <c r="J646" s="82" t="s">
        <v>1910</v>
      </c>
      <c r="K646" s="82" t="s">
        <v>385</v>
      </c>
      <c r="L646" s="88" t="s">
        <v>317</v>
      </c>
      <c r="M646" s="54">
        <v>46198</v>
      </c>
      <c r="N646" s="55">
        <v>46230</v>
      </c>
    </row>
    <row r="647" spans="2:14" x14ac:dyDescent="0.25">
      <c r="B647" s="79" t="s">
        <v>381</v>
      </c>
      <c r="C647" s="82" t="s">
        <v>1894</v>
      </c>
      <c r="D647" s="82" t="s">
        <v>1911</v>
      </c>
      <c r="E647" s="82" t="s">
        <v>419</v>
      </c>
      <c r="F647" s="82" t="s">
        <v>419</v>
      </c>
      <c r="G647" s="85" t="s">
        <v>419</v>
      </c>
      <c r="H647" s="85" t="s">
        <v>1912</v>
      </c>
      <c r="I647" s="82" t="s">
        <v>1913</v>
      </c>
      <c r="J647" s="82" t="s">
        <v>187</v>
      </c>
      <c r="K647" s="82" t="s">
        <v>385</v>
      </c>
      <c r="L647" s="88" t="s">
        <v>317</v>
      </c>
      <c r="M647" s="54">
        <v>46393</v>
      </c>
      <c r="N647" s="55">
        <v>46425</v>
      </c>
    </row>
    <row r="648" spans="2:14" x14ac:dyDescent="0.25">
      <c r="B648" s="79" t="s">
        <v>381</v>
      </c>
      <c r="C648" s="82" t="s">
        <v>1894</v>
      </c>
      <c r="D648" s="82" t="s">
        <v>1911</v>
      </c>
      <c r="E648" s="82" t="s">
        <v>419</v>
      </c>
      <c r="F648" s="82" t="s">
        <v>419</v>
      </c>
      <c r="G648" s="85" t="s">
        <v>419</v>
      </c>
      <c r="H648" s="85" t="s">
        <v>1914</v>
      </c>
      <c r="I648" s="82" t="s">
        <v>1915</v>
      </c>
      <c r="J648" s="82" t="s">
        <v>1916</v>
      </c>
      <c r="K648" s="82" t="s">
        <v>385</v>
      </c>
      <c r="L648" s="88" t="s">
        <v>317</v>
      </c>
      <c r="M648" s="54">
        <v>46441</v>
      </c>
      <c r="N648" s="55">
        <v>46475</v>
      </c>
    </row>
    <row r="649" spans="2:14" x14ac:dyDescent="0.25">
      <c r="B649" s="79" t="s">
        <v>381</v>
      </c>
      <c r="C649" s="82" t="s">
        <v>1894</v>
      </c>
      <c r="D649" s="82" t="s">
        <v>1911</v>
      </c>
      <c r="E649" s="82" t="s">
        <v>419</v>
      </c>
      <c r="F649" s="82" t="s">
        <v>419</v>
      </c>
      <c r="G649" s="85" t="s">
        <v>419</v>
      </c>
      <c r="H649" s="85" t="s">
        <v>1917</v>
      </c>
      <c r="I649" s="82" t="s">
        <v>1918</v>
      </c>
      <c r="J649" s="82" t="s">
        <v>1919</v>
      </c>
      <c r="K649" s="82" t="s">
        <v>385</v>
      </c>
      <c r="L649" s="88" t="s">
        <v>317</v>
      </c>
      <c r="M649" s="54">
        <v>46490</v>
      </c>
      <c r="N649" s="55">
        <v>46526</v>
      </c>
    </row>
    <row r="650" spans="2:14" x14ac:dyDescent="0.25">
      <c r="B650" s="79" t="s">
        <v>381</v>
      </c>
      <c r="C650" s="82" t="s">
        <v>1894</v>
      </c>
      <c r="D650" s="82" t="s">
        <v>1911</v>
      </c>
      <c r="E650" s="82" t="s">
        <v>419</v>
      </c>
      <c r="F650" s="82" t="s">
        <v>419</v>
      </c>
      <c r="G650" s="85" t="s">
        <v>419</v>
      </c>
      <c r="H650" s="85" t="s">
        <v>1920</v>
      </c>
      <c r="I650" s="82" t="s">
        <v>1921</v>
      </c>
      <c r="J650" s="82" t="s">
        <v>1922</v>
      </c>
      <c r="K650" s="82" t="s">
        <v>385</v>
      </c>
      <c r="L650" s="88" t="s">
        <v>317</v>
      </c>
      <c r="M650" s="54">
        <v>46541</v>
      </c>
      <c r="N650" s="55">
        <v>46573</v>
      </c>
    </row>
    <row r="651" spans="2:14" x14ac:dyDescent="0.25">
      <c r="B651" s="79" t="s">
        <v>381</v>
      </c>
      <c r="C651" s="82" t="s">
        <v>1894</v>
      </c>
      <c r="D651" s="82" t="s">
        <v>1911</v>
      </c>
      <c r="E651" s="82" t="s">
        <v>687</v>
      </c>
      <c r="F651" s="82" t="s">
        <v>689</v>
      </c>
      <c r="G651" s="85" t="s">
        <v>689</v>
      </c>
      <c r="H651" s="85" t="s">
        <v>689</v>
      </c>
      <c r="I651" s="82" t="s">
        <v>1923</v>
      </c>
      <c r="J651" s="82" t="s">
        <v>1924</v>
      </c>
      <c r="K651" s="82" t="s">
        <v>385</v>
      </c>
      <c r="L651" s="88" t="s">
        <v>310</v>
      </c>
      <c r="M651" s="54">
        <v>46722</v>
      </c>
      <c r="N651" s="55">
        <v>46746</v>
      </c>
    </row>
    <row r="652" spans="2:14" x14ac:dyDescent="0.25">
      <c r="B652" s="79" t="s">
        <v>381</v>
      </c>
      <c r="C652" s="82" t="s">
        <v>1894</v>
      </c>
      <c r="D652" s="82" t="s">
        <v>1911</v>
      </c>
      <c r="E652" s="82" t="s">
        <v>687</v>
      </c>
      <c r="F652" s="82" t="s">
        <v>1925</v>
      </c>
      <c r="G652" s="85" t="s">
        <v>1925</v>
      </c>
      <c r="H652" s="85" t="s">
        <v>1925</v>
      </c>
      <c r="I652" s="82" t="s">
        <v>1926</v>
      </c>
      <c r="J652" s="82" t="s">
        <v>1927</v>
      </c>
      <c r="K652" s="82" t="s">
        <v>385</v>
      </c>
      <c r="L652" s="88" t="s">
        <v>214</v>
      </c>
      <c r="M652" s="54">
        <v>46761</v>
      </c>
      <c r="N652" s="55">
        <v>46776</v>
      </c>
    </row>
    <row r="653" spans="2:14" x14ac:dyDescent="0.25">
      <c r="B653" s="79" t="s">
        <v>381</v>
      </c>
      <c r="C653" s="82" t="s">
        <v>1894</v>
      </c>
      <c r="D653" s="82" t="s">
        <v>1911</v>
      </c>
      <c r="E653" s="82" t="s">
        <v>687</v>
      </c>
      <c r="F653" s="82" t="s">
        <v>698</v>
      </c>
      <c r="G653" s="85" t="s">
        <v>698</v>
      </c>
      <c r="H653" s="85" t="s">
        <v>698</v>
      </c>
      <c r="I653" s="82" t="s">
        <v>1928</v>
      </c>
      <c r="J653" s="82" t="s">
        <v>1929</v>
      </c>
      <c r="K653" s="82" t="s">
        <v>385</v>
      </c>
      <c r="L653" s="88" t="s">
        <v>214</v>
      </c>
      <c r="M653" s="54">
        <v>46799</v>
      </c>
      <c r="N653" s="55">
        <v>46819</v>
      </c>
    </row>
    <row r="654" spans="2:14" x14ac:dyDescent="0.25">
      <c r="B654" s="79" t="s">
        <v>381</v>
      </c>
      <c r="C654" s="82" t="s">
        <v>1894</v>
      </c>
      <c r="D654" s="82" t="s">
        <v>1911</v>
      </c>
      <c r="E654" s="82" t="s">
        <v>687</v>
      </c>
      <c r="F654" s="82" t="s">
        <v>943</v>
      </c>
      <c r="G654" s="85" t="s">
        <v>943</v>
      </c>
      <c r="H654" s="85" t="s">
        <v>943</v>
      </c>
      <c r="I654" s="82" t="s">
        <v>1930</v>
      </c>
      <c r="J654" s="82" t="s">
        <v>1931</v>
      </c>
      <c r="K654" s="82" t="s">
        <v>385</v>
      </c>
      <c r="L654" s="88" t="s">
        <v>214</v>
      </c>
      <c r="M654" s="54">
        <v>46814</v>
      </c>
      <c r="N654" s="55">
        <v>46830</v>
      </c>
    </row>
    <row r="655" spans="2:14" x14ac:dyDescent="0.25">
      <c r="B655" s="79" t="s">
        <v>381</v>
      </c>
      <c r="C655" s="82" t="s">
        <v>1894</v>
      </c>
      <c r="D655" s="82" t="s">
        <v>1911</v>
      </c>
      <c r="E655" s="82" t="s">
        <v>1932</v>
      </c>
      <c r="F655" s="82" t="s">
        <v>1108</v>
      </c>
      <c r="G655" s="85" t="s">
        <v>1109</v>
      </c>
      <c r="H655" s="85" t="s">
        <v>1109</v>
      </c>
      <c r="I655" s="82" t="s">
        <v>1933</v>
      </c>
      <c r="J655" s="82" t="s">
        <v>1934</v>
      </c>
      <c r="K655" s="82" t="s">
        <v>385</v>
      </c>
      <c r="L655" s="88" t="s">
        <v>317</v>
      </c>
      <c r="M655" s="54">
        <v>46642</v>
      </c>
      <c r="N655" s="55">
        <v>46674</v>
      </c>
    </row>
    <row r="656" spans="2:14" x14ac:dyDescent="0.25">
      <c r="B656" s="79" t="s">
        <v>381</v>
      </c>
      <c r="C656" s="82" t="s">
        <v>1894</v>
      </c>
      <c r="D656" s="82" t="s">
        <v>1911</v>
      </c>
      <c r="E656" s="82" t="s">
        <v>1932</v>
      </c>
      <c r="F656" s="82" t="s">
        <v>1108</v>
      </c>
      <c r="G656" s="85" t="s">
        <v>1273</v>
      </c>
      <c r="H656" s="85" t="s">
        <v>1273</v>
      </c>
      <c r="I656" s="82" t="s">
        <v>1935</v>
      </c>
      <c r="J656" s="82" t="s">
        <v>1936</v>
      </c>
      <c r="K656" s="82" t="s">
        <v>385</v>
      </c>
      <c r="L656" s="88" t="s">
        <v>310</v>
      </c>
      <c r="M656" s="54">
        <v>46650</v>
      </c>
      <c r="N656" s="55">
        <v>46674</v>
      </c>
    </row>
    <row r="657" spans="2:14" x14ac:dyDescent="0.25">
      <c r="B657" s="79" t="s">
        <v>381</v>
      </c>
      <c r="C657" s="82" t="s">
        <v>1894</v>
      </c>
      <c r="D657" s="82" t="s">
        <v>1911</v>
      </c>
      <c r="E657" s="82" t="s">
        <v>1932</v>
      </c>
      <c r="F657" s="82" t="s">
        <v>1108</v>
      </c>
      <c r="G657" s="85" t="s">
        <v>1278</v>
      </c>
      <c r="H657" s="85" t="s">
        <v>1278</v>
      </c>
      <c r="I657" s="82" t="s">
        <v>1937</v>
      </c>
      <c r="J657" s="82" t="s">
        <v>1938</v>
      </c>
      <c r="K657" s="82" t="s">
        <v>385</v>
      </c>
      <c r="L657" s="88" t="s">
        <v>310</v>
      </c>
      <c r="M657" s="54">
        <v>46650</v>
      </c>
      <c r="N657" s="55">
        <v>46674</v>
      </c>
    </row>
    <row r="658" spans="2:14" x14ac:dyDescent="0.25">
      <c r="B658" s="79" t="s">
        <v>381</v>
      </c>
      <c r="C658" s="82" t="s">
        <v>1894</v>
      </c>
      <c r="D658" s="82" t="s">
        <v>1911</v>
      </c>
      <c r="E658" s="82" t="s">
        <v>1932</v>
      </c>
      <c r="F658" s="82" t="s">
        <v>1108</v>
      </c>
      <c r="G658" s="85" t="s">
        <v>1061</v>
      </c>
      <c r="H658" s="85" t="s">
        <v>1061</v>
      </c>
      <c r="I658" s="82" t="s">
        <v>1939</v>
      </c>
      <c r="J658" s="82" t="s">
        <v>1940</v>
      </c>
      <c r="K658" s="82" t="s">
        <v>385</v>
      </c>
      <c r="L658" s="88" t="s">
        <v>310</v>
      </c>
      <c r="M658" s="54">
        <v>46650</v>
      </c>
      <c r="N658" s="55">
        <v>46674</v>
      </c>
    </row>
    <row r="659" spans="2:14" x14ac:dyDescent="0.25">
      <c r="B659" s="79" t="s">
        <v>381</v>
      </c>
      <c r="C659" s="82" t="s">
        <v>1894</v>
      </c>
      <c r="D659" s="82" t="s">
        <v>1911</v>
      </c>
      <c r="E659" s="82" t="s">
        <v>1932</v>
      </c>
      <c r="F659" s="82" t="s">
        <v>1108</v>
      </c>
      <c r="G659" s="85" t="s">
        <v>1283</v>
      </c>
      <c r="H659" s="85" t="s">
        <v>1283</v>
      </c>
      <c r="I659" s="82" t="s">
        <v>1941</v>
      </c>
      <c r="J659" s="82" t="s">
        <v>1942</v>
      </c>
      <c r="K659" s="82" t="s">
        <v>385</v>
      </c>
      <c r="L659" s="88" t="s">
        <v>310</v>
      </c>
      <c r="M659" s="54">
        <v>46650</v>
      </c>
      <c r="N659" s="55">
        <v>46674</v>
      </c>
    </row>
    <row r="660" spans="2:14" x14ac:dyDescent="0.25">
      <c r="B660" s="79" t="s">
        <v>381</v>
      </c>
      <c r="C660" s="82" t="s">
        <v>1894</v>
      </c>
      <c r="D660" s="82" t="s">
        <v>1943</v>
      </c>
      <c r="E660" s="82" t="s">
        <v>1944</v>
      </c>
      <c r="F660" s="82" t="s">
        <v>1944</v>
      </c>
      <c r="G660" s="85" t="s">
        <v>1944</v>
      </c>
      <c r="H660" s="85" t="s">
        <v>1944</v>
      </c>
      <c r="I660" s="82" t="s">
        <v>1945</v>
      </c>
      <c r="J660" s="82" t="s">
        <v>1946</v>
      </c>
      <c r="K660" s="82" t="s">
        <v>385</v>
      </c>
      <c r="L660" s="88" t="s">
        <v>317</v>
      </c>
      <c r="M660" s="54">
        <v>46341</v>
      </c>
      <c r="N660" s="55">
        <v>46372</v>
      </c>
    </row>
    <row r="661" spans="2:14" x14ac:dyDescent="0.25">
      <c r="B661" s="79" t="s">
        <v>381</v>
      </c>
      <c r="C661" s="82" t="s">
        <v>1894</v>
      </c>
      <c r="D661" s="82" t="s">
        <v>1943</v>
      </c>
      <c r="E661" s="82" t="s">
        <v>1947</v>
      </c>
      <c r="F661" s="82" t="s">
        <v>1947</v>
      </c>
      <c r="G661" s="85" t="s">
        <v>1947</v>
      </c>
      <c r="H661" s="85" t="s">
        <v>1947</v>
      </c>
      <c r="I661" s="82" t="s">
        <v>1948</v>
      </c>
      <c r="J661" s="82" t="s">
        <v>1949</v>
      </c>
      <c r="K661" s="82" t="s">
        <v>385</v>
      </c>
      <c r="L661" s="88" t="s">
        <v>317</v>
      </c>
      <c r="M661" s="54">
        <v>46341</v>
      </c>
      <c r="N661" s="55">
        <v>46372</v>
      </c>
    </row>
    <row r="662" spans="2:14" x14ac:dyDescent="0.25">
      <c r="B662" s="79" t="s">
        <v>381</v>
      </c>
      <c r="C662" s="82" t="s">
        <v>1894</v>
      </c>
      <c r="D662" s="82" t="s">
        <v>1943</v>
      </c>
      <c r="E662" s="82" t="s">
        <v>1950</v>
      </c>
      <c r="F662" s="82" t="s">
        <v>1950</v>
      </c>
      <c r="G662" s="85" t="s">
        <v>1950</v>
      </c>
      <c r="H662" s="85" t="s">
        <v>1950</v>
      </c>
      <c r="I662" s="82" t="s">
        <v>1951</v>
      </c>
      <c r="J662" s="82" t="s">
        <v>1952</v>
      </c>
      <c r="K662" s="82" t="s">
        <v>385</v>
      </c>
      <c r="L662" s="88" t="s">
        <v>317</v>
      </c>
      <c r="M662" s="54">
        <v>46508</v>
      </c>
      <c r="N662" s="55">
        <v>46544</v>
      </c>
    </row>
    <row r="663" spans="2:14" x14ac:dyDescent="0.25">
      <c r="B663" s="79" t="s">
        <v>381</v>
      </c>
      <c r="C663" s="82" t="s">
        <v>1894</v>
      </c>
      <c r="D663" s="82" t="s">
        <v>1943</v>
      </c>
      <c r="E663" s="82" t="s">
        <v>1953</v>
      </c>
      <c r="F663" s="82" t="s">
        <v>1953</v>
      </c>
      <c r="G663" s="85" t="s">
        <v>1953</v>
      </c>
      <c r="H663" s="85" t="s">
        <v>1953</v>
      </c>
      <c r="I663" s="82" t="s">
        <v>1954</v>
      </c>
      <c r="J663" s="82" t="s">
        <v>1955</v>
      </c>
      <c r="K663" s="82" t="s">
        <v>385</v>
      </c>
      <c r="L663" s="88" t="s">
        <v>317</v>
      </c>
      <c r="M663" s="54">
        <v>46508</v>
      </c>
      <c r="N663" s="55">
        <v>46544</v>
      </c>
    </row>
    <row r="664" spans="2:14" x14ac:dyDescent="0.25">
      <c r="B664" s="79" t="s">
        <v>381</v>
      </c>
      <c r="C664" s="82" t="s">
        <v>1894</v>
      </c>
      <c r="D664" s="82" t="s">
        <v>1956</v>
      </c>
      <c r="E664" s="82" t="s">
        <v>1956</v>
      </c>
      <c r="F664" s="82" t="s">
        <v>1956</v>
      </c>
      <c r="G664" s="85" t="s">
        <v>1956</v>
      </c>
      <c r="H664" s="85" t="s">
        <v>1956</v>
      </c>
      <c r="I664" s="82" t="s">
        <v>1957</v>
      </c>
      <c r="J664" s="82" t="s">
        <v>239</v>
      </c>
      <c r="K664" s="82" t="s">
        <v>385</v>
      </c>
      <c r="L664" s="88" t="s">
        <v>214</v>
      </c>
      <c r="M664" s="54">
        <v>46606</v>
      </c>
      <c r="N664" s="55">
        <v>46621</v>
      </c>
    </row>
    <row r="665" spans="2:14" x14ac:dyDescent="0.25">
      <c r="B665" s="79" t="s">
        <v>381</v>
      </c>
      <c r="C665" s="82" t="s">
        <v>1894</v>
      </c>
      <c r="D665" s="82" t="s">
        <v>1958</v>
      </c>
      <c r="E665" s="82" t="s">
        <v>1958</v>
      </c>
      <c r="F665" s="82" t="s">
        <v>1958</v>
      </c>
      <c r="G665" s="85" t="s">
        <v>1958</v>
      </c>
      <c r="H665" s="85" t="s">
        <v>1958</v>
      </c>
      <c r="I665" s="82" t="s">
        <v>1959</v>
      </c>
      <c r="J665" s="82" t="s">
        <v>1960</v>
      </c>
      <c r="K665" s="82" t="s">
        <v>385</v>
      </c>
      <c r="L665" s="88" t="s">
        <v>310</v>
      </c>
      <c r="M665" s="54">
        <v>46349</v>
      </c>
      <c r="N665" s="55">
        <v>46372</v>
      </c>
    </row>
    <row r="666" spans="2:14" x14ac:dyDescent="0.25">
      <c r="B666" s="79" t="s">
        <v>381</v>
      </c>
      <c r="C666" s="82" t="s">
        <v>1894</v>
      </c>
      <c r="D666" s="82" t="s">
        <v>1961</v>
      </c>
      <c r="E666" s="82" t="s">
        <v>1961</v>
      </c>
      <c r="F666" s="82" t="s">
        <v>1961</v>
      </c>
      <c r="G666" s="85" t="s">
        <v>1961</v>
      </c>
      <c r="H666" s="85" t="s">
        <v>1961</v>
      </c>
      <c r="I666" s="82" t="s">
        <v>1962</v>
      </c>
      <c r="J666" s="82" t="s">
        <v>1963</v>
      </c>
      <c r="K666" s="82" t="s">
        <v>385</v>
      </c>
      <c r="L666" s="88" t="s">
        <v>310</v>
      </c>
      <c r="M666" s="54">
        <v>46469</v>
      </c>
      <c r="N666" s="55">
        <v>46492</v>
      </c>
    </row>
    <row r="667" spans="2:14" x14ac:dyDescent="0.25">
      <c r="B667" s="79" t="s">
        <v>381</v>
      </c>
      <c r="C667" s="82" t="s">
        <v>1894</v>
      </c>
      <c r="D667" s="82" t="s">
        <v>1263</v>
      </c>
      <c r="E667" s="82" t="s">
        <v>1263</v>
      </c>
      <c r="F667" s="82" t="s">
        <v>1263</v>
      </c>
      <c r="G667" s="85" t="s">
        <v>1263</v>
      </c>
      <c r="H667" s="85" t="s">
        <v>1263</v>
      </c>
      <c r="I667" s="82" t="s">
        <v>1964</v>
      </c>
      <c r="J667" s="82" t="s">
        <v>1965</v>
      </c>
      <c r="K667" s="82" t="s">
        <v>385</v>
      </c>
      <c r="L667" s="88" t="s">
        <v>317</v>
      </c>
      <c r="M667" s="54">
        <v>46559</v>
      </c>
      <c r="N667" s="55">
        <v>46590</v>
      </c>
    </row>
    <row r="668" spans="2:14" x14ac:dyDescent="0.25">
      <c r="B668" s="79" t="s">
        <v>381</v>
      </c>
      <c r="C668" s="82" t="s">
        <v>2588</v>
      </c>
      <c r="D668" s="82" t="s">
        <v>2589</v>
      </c>
      <c r="E668" s="82" t="s">
        <v>2590</v>
      </c>
      <c r="F668" s="82" t="s">
        <v>2590</v>
      </c>
      <c r="G668" s="85" t="s">
        <v>2590</v>
      </c>
      <c r="H668" s="85" t="s">
        <v>2590</v>
      </c>
      <c r="I668" s="82" t="s">
        <v>2591</v>
      </c>
      <c r="J668" s="82" t="s">
        <v>2592</v>
      </c>
      <c r="K668" s="82" t="s">
        <v>385</v>
      </c>
      <c r="L668" s="88" t="s">
        <v>2593</v>
      </c>
      <c r="M668" s="54">
        <v>46233</v>
      </c>
      <c r="N668" s="55">
        <v>46362</v>
      </c>
    </row>
    <row r="669" spans="2:14" x14ac:dyDescent="0.25">
      <c r="B669" s="79" t="s">
        <v>381</v>
      </c>
      <c r="C669" s="82" t="s">
        <v>2588</v>
      </c>
      <c r="D669" s="82" t="s">
        <v>2589</v>
      </c>
      <c r="E669" s="82" t="s">
        <v>2594</v>
      </c>
      <c r="F669" s="82" t="s">
        <v>2594</v>
      </c>
      <c r="G669" s="85" t="s">
        <v>2594</v>
      </c>
      <c r="H669" s="85" t="s">
        <v>2594</v>
      </c>
      <c r="I669" s="82" t="s">
        <v>2595</v>
      </c>
      <c r="J669" s="82" t="s">
        <v>2596</v>
      </c>
      <c r="K669" s="82" t="s">
        <v>385</v>
      </c>
      <c r="L669" s="88" t="s">
        <v>2593</v>
      </c>
      <c r="M669" s="54">
        <v>46363</v>
      </c>
      <c r="N669" s="55">
        <v>46494</v>
      </c>
    </row>
    <row r="670" spans="2:14" x14ac:dyDescent="0.25">
      <c r="B670" s="79" t="s">
        <v>381</v>
      </c>
      <c r="C670" s="82" t="s">
        <v>2588</v>
      </c>
      <c r="D670" s="82" t="s">
        <v>2597</v>
      </c>
      <c r="E670" s="82" t="s">
        <v>2598</v>
      </c>
      <c r="F670" s="82" t="s">
        <v>2598</v>
      </c>
      <c r="G670" s="85" t="s">
        <v>2598</v>
      </c>
      <c r="H670" s="85" t="s">
        <v>2598</v>
      </c>
      <c r="I670" s="82" t="s">
        <v>2599</v>
      </c>
      <c r="J670" s="82" t="s">
        <v>2600</v>
      </c>
      <c r="K670" s="82" t="s">
        <v>385</v>
      </c>
      <c r="L670" s="88" t="s">
        <v>2601</v>
      </c>
      <c r="M670" s="54">
        <v>46382</v>
      </c>
      <c r="N670" s="55">
        <v>46599</v>
      </c>
    </row>
    <row r="671" spans="2:14" x14ac:dyDescent="0.25">
      <c r="B671" s="79" t="s">
        <v>381</v>
      </c>
      <c r="C671" s="82" t="s">
        <v>2588</v>
      </c>
      <c r="D671" s="82" t="s">
        <v>2597</v>
      </c>
      <c r="E671" s="82" t="s">
        <v>2602</v>
      </c>
      <c r="F671" s="82" t="s">
        <v>2602</v>
      </c>
      <c r="G671" s="85" t="s">
        <v>2602</v>
      </c>
      <c r="H671" s="85" t="s">
        <v>2602</v>
      </c>
      <c r="I671" s="82" t="s">
        <v>2603</v>
      </c>
      <c r="J671" s="82" t="s">
        <v>2604</v>
      </c>
      <c r="K671" s="82" t="s">
        <v>385</v>
      </c>
      <c r="L671" s="88" t="s">
        <v>2601</v>
      </c>
      <c r="M671" s="54">
        <v>46382</v>
      </c>
      <c r="N671" s="55">
        <v>46599</v>
      </c>
    </row>
    <row r="672" spans="2:14" x14ac:dyDescent="0.25">
      <c r="B672" s="79" t="s">
        <v>381</v>
      </c>
      <c r="C672" s="82" t="s">
        <v>2588</v>
      </c>
      <c r="D672" s="82" t="s">
        <v>2605</v>
      </c>
      <c r="E672" s="82" t="s">
        <v>2606</v>
      </c>
      <c r="F672" s="82" t="s">
        <v>2606</v>
      </c>
      <c r="G672" s="85" t="s">
        <v>2606</v>
      </c>
      <c r="H672" s="85" t="s">
        <v>2606</v>
      </c>
      <c r="I672" s="82" t="s">
        <v>2607</v>
      </c>
      <c r="J672" s="82" t="s">
        <v>2608</v>
      </c>
      <c r="K672" s="82" t="s">
        <v>385</v>
      </c>
      <c r="L672" s="88" t="s">
        <v>2609</v>
      </c>
      <c r="M672" s="54">
        <v>46631</v>
      </c>
      <c r="N672" s="55">
        <v>46701</v>
      </c>
    </row>
    <row r="673" spans="2:14" x14ac:dyDescent="0.25">
      <c r="B673" s="79" t="s">
        <v>381</v>
      </c>
      <c r="C673" s="82" t="s">
        <v>2588</v>
      </c>
      <c r="D673" s="82" t="s">
        <v>2605</v>
      </c>
      <c r="E673" s="82" t="s">
        <v>2610</v>
      </c>
      <c r="F673" s="82" t="s">
        <v>2610</v>
      </c>
      <c r="G673" s="85" t="s">
        <v>2610</v>
      </c>
      <c r="H673" s="85" t="s">
        <v>2610</v>
      </c>
      <c r="I673" s="82" t="s">
        <v>2611</v>
      </c>
      <c r="J673" s="82" t="s">
        <v>2612</v>
      </c>
      <c r="K673" s="82" t="s">
        <v>385</v>
      </c>
      <c r="L673" s="88" t="s">
        <v>2609</v>
      </c>
      <c r="M673" s="54">
        <v>46631</v>
      </c>
      <c r="N673" s="55">
        <v>46701</v>
      </c>
    </row>
    <row r="674" spans="2:14" x14ac:dyDescent="0.25">
      <c r="B674" s="79" t="s">
        <v>381</v>
      </c>
      <c r="C674" s="82" t="s">
        <v>2588</v>
      </c>
      <c r="D674" s="82" t="s">
        <v>2613</v>
      </c>
      <c r="E674" s="82" t="s">
        <v>2614</v>
      </c>
      <c r="F674" s="82" t="s">
        <v>2614</v>
      </c>
      <c r="G674" s="85" t="s">
        <v>2614</v>
      </c>
      <c r="H674" s="85" t="s">
        <v>2614</v>
      </c>
      <c r="I674" s="82" t="s">
        <v>2615</v>
      </c>
      <c r="J674" s="82" t="s">
        <v>2616</v>
      </c>
      <c r="K674" s="82" t="s">
        <v>385</v>
      </c>
      <c r="L674" s="88" t="s">
        <v>2617</v>
      </c>
      <c r="M674" s="54">
        <v>46545</v>
      </c>
      <c r="N674" s="55">
        <v>46720</v>
      </c>
    </row>
    <row r="675" spans="2:14" x14ac:dyDescent="0.25">
      <c r="B675" s="79" t="s">
        <v>381</v>
      </c>
      <c r="C675" s="82" t="s">
        <v>2588</v>
      </c>
      <c r="D675" s="82" t="s">
        <v>2613</v>
      </c>
      <c r="E675" s="82" t="s">
        <v>2618</v>
      </c>
      <c r="F675" s="82" t="s">
        <v>2618</v>
      </c>
      <c r="G675" s="85" t="s">
        <v>2618</v>
      </c>
      <c r="H675" s="85" t="s">
        <v>2618</v>
      </c>
      <c r="I675" s="82" t="s">
        <v>2619</v>
      </c>
      <c r="J675" s="82" t="s">
        <v>2620</v>
      </c>
      <c r="K675" s="82" t="s">
        <v>385</v>
      </c>
      <c r="L675" s="88" t="s">
        <v>2621</v>
      </c>
      <c r="M675" s="54">
        <v>46692</v>
      </c>
      <c r="N675" s="55">
        <v>46796</v>
      </c>
    </row>
    <row r="676" spans="2:14" x14ac:dyDescent="0.25">
      <c r="B676" s="79" t="s">
        <v>381</v>
      </c>
      <c r="C676" s="82" t="s">
        <v>2588</v>
      </c>
      <c r="D676" s="82" t="s">
        <v>2613</v>
      </c>
      <c r="E676" s="82" t="s">
        <v>2622</v>
      </c>
      <c r="F676" s="82" t="s">
        <v>2622</v>
      </c>
      <c r="G676" s="85" t="s">
        <v>2622</v>
      </c>
      <c r="H676" s="85" t="s">
        <v>2622</v>
      </c>
      <c r="I676" s="82" t="s">
        <v>2623</v>
      </c>
      <c r="J676" s="82" t="s">
        <v>2624</v>
      </c>
      <c r="K676" s="82" t="s">
        <v>385</v>
      </c>
      <c r="L676" s="88" t="s">
        <v>2621</v>
      </c>
      <c r="M676" s="54">
        <v>46586</v>
      </c>
      <c r="N676" s="55">
        <v>46691</v>
      </c>
    </row>
    <row r="677" spans="2:14" x14ac:dyDescent="0.25">
      <c r="B677" s="79" t="s">
        <v>381</v>
      </c>
      <c r="C677" s="82" t="s">
        <v>2588</v>
      </c>
      <c r="D677" s="82" t="s">
        <v>2613</v>
      </c>
      <c r="E677" s="82" t="s">
        <v>1053</v>
      </c>
      <c r="F677" s="82" t="s">
        <v>1053</v>
      </c>
      <c r="G677" s="85" t="s">
        <v>1053</v>
      </c>
      <c r="H677" s="85" t="s">
        <v>1053</v>
      </c>
      <c r="I677" s="82" t="s">
        <v>2625</v>
      </c>
      <c r="J677" s="82" t="s">
        <v>2626</v>
      </c>
      <c r="K677" s="82" t="s">
        <v>385</v>
      </c>
      <c r="L677" s="88" t="s">
        <v>2627</v>
      </c>
      <c r="M677" s="54">
        <v>46434</v>
      </c>
      <c r="N677" s="55">
        <v>46581</v>
      </c>
    </row>
    <row r="678" spans="2:14" x14ac:dyDescent="0.25">
      <c r="B678" s="79" t="s">
        <v>381</v>
      </c>
      <c r="C678" s="82" t="s">
        <v>2588</v>
      </c>
      <c r="D678" s="82" t="s">
        <v>2628</v>
      </c>
      <c r="E678" s="82" t="s">
        <v>2628</v>
      </c>
      <c r="F678" s="82" t="s">
        <v>2628</v>
      </c>
      <c r="G678" s="85" t="s">
        <v>2628</v>
      </c>
      <c r="H678" s="85" t="s">
        <v>2628</v>
      </c>
      <c r="I678" s="82" t="s">
        <v>2629</v>
      </c>
      <c r="J678" s="82" t="s">
        <v>2630</v>
      </c>
      <c r="K678" s="82" t="s">
        <v>385</v>
      </c>
      <c r="L678" s="88" t="s">
        <v>2609</v>
      </c>
      <c r="M678" s="54">
        <v>46963</v>
      </c>
      <c r="N678" s="55">
        <v>47033</v>
      </c>
    </row>
    <row r="679" spans="2:14" x14ac:dyDescent="0.25">
      <c r="B679" s="79" t="s">
        <v>381</v>
      </c>
      <c r="C679" s="82" t="s">
        <v>2588</v>
      </c>
      <c r="D679" s="82" t="s">
        <v>2631</v>
      </c>
      <c r="E679" s="82" t="s">
        <v>2631</v>
      </c>
      <c r="F679" s="82" t="s">
        <v>2631</v>
      </c>
      <c r="G679" s="85" t="s">
        <v>2631</v>
      </c>
      <c r="H679" s="85" t="s">
        <v>2631</v>
      </c>
      <c r="I679" s="82" t="s">
        <v>2632</v>
      </c>
      <c r="J679" s="82" t="s">
        <v>2633</v>
      </c>
      <c r="K679" s="82" t="s">
        <v>385</v>
      </c>
      <c r="L679" s="88" t="s">
        <v>2634</v>
      </c>
      <c r="M679" s="54">
        <v>46629</v>
      </c>
      <c r="N679" s="55">
        <v>46820</v>
      </c>
    </row>
    <row r="680" spans="2:14" x14ac:dyDescent="0.25">
      <c r="B680" s="79" t="s">
        <v>381</v>
      </c>
      <c r="C680" s="82" t="s">
        <v>2588</v>
      </c>
      <c r="D680" s="82" t="s">
        <v>2635</v>
      </c>
      <c r="E680" s="82" t="s">
        <v>2636</v>
      </c>
      <c r="F680" s="82" t="s">
        <v>2636</v>
      </c>
      <c r="G680" s="85" t="s">
        <v>2636</v>
      </c>
      <c r="H680" s="85" t="s">
        <v>2636</v>
      </c>
      <c r="I680" s="82" t="s">
        <v>2637</v>
      </c>
      <c r="J680" s="82" t="s">
        <v>2638</v>
      </c>
      <c r="K680" s="82" t="s">
        <v>385</v>
      </c>
      <c r="L680" s="88" t="s">
        <v>2639</v>
      </c>
      <c r="M680" s="54">
        <v>46912</v>
      </c>
      <c r="N680" s="55">
        <v>46946</v>
      </c>
    </row>
    <row r="681" spans="2:14" x14ac:dyDescent="0.25">
      <c r="B681" s="79" t="s">
        <v>381</v>
      </c>
      <c r="C681" s="82" t="s">
        <v>2588</v>
      </c>
      <c r="D681" s="82" t="s">
        <v>2635</v>
      </c>
      <c r="E681" s="82" t="s">
        <v>502</v>
      </c>
      <c r="F681" s="82" t="s">
        <v>502</v>
      </c>
      <c r="G681" s="85" t="s">
        <v>502</v>
      </c>
      <c r="H681" s="85" t="s">
        <v>502</v>
      </c>
      <c r="I681" s="82" t="s">
        <v>2640</v>
      </c>
      <c r="J681" s="82" t="s">
        <v>2641</v>
      </c>
      <c r="K681" s="82" t="s">
        <v>385</v>
      </c>
      <c r="L681" s="88" t="s">
        <v>2639</v>
      </c>
      <c r="M681" s="54">
        <v>46874</v>
      </c>
      <c r="N681" s="55">
        <v>46911</v>
      </c>
    </row>
    <row r="682" spans="2:14" x14ac:dyDescent="0.25">
      <c r="B682" s="79" t="s">
        <v>381</v>
      </c>
      <c r="C682" s="82" t="s">
        <v>2588</v>
      </c>
      <c r="D682" s="82" t="s">
        <v>2635</v>
      </c>
      <c r="E682" s="82" t="s">
        <v>2135</v>
      </c>
      <c r="F682" s="82" t="s">
        <v>2135</v>
      </c>
      <c r="G682" s="85" t="s">
        <v>2135</v>
      </c>
      <c r="H682" s="85" t="s">
        <v>2135</v>
      </c>
      <c r="I682" s="82" t="s">
        <v>2642</v>
      </c>
      <c r="J682" s="82" t="s">
        <v>2643</v>
      </c>
      <c r="K682" s="82" t="s">
        <v>385</v>
      </c>
      <c r="L682" s="88" t="s">
        <v>2639</v>
      </c>
      <c r="M682" s="54">
        <v>46965</v>
      </c>
      <c r="N682" s="55">
        <v>46999</v>
      </c>
    </row>
    <row r="683" spans="2:14" x14ac:dyDescent="0.25">
      <c r="B683" s="79" t="s">
        <v>381</v>
      </c>
      <c r="C683" s="82" t="s">
        <v>2588</v>
      </c>
      <c r="D683" s="82" t="s">
        <v>2635</v>
      </c>
      <c r="E683" s="82" t="s">
        <v>2644</v>
      </c>
      <c r="F683" s="82" t="s">
        <v>2644</v>
      </c>
      <c r="G683" s="85" t="s">
        <v>2644</v>
      </c>
      <c r="H683" s="85" t="s">
        <v>2644</v>
      </c>
      <c r="I683" s="82" t="s">
        <v>2645</v>
      </c>
      <c r="J683" s="82" t="s">
        <v>2646</v>
      </c>
      <c r="K683" s="82" t="s">
        <v>385</v>
      </c>
      <c r="L683" s="88" t="s">
        <v>2639</v>
      </c>
      <c r="M683" s="54">
        <v>46930</v>
      </c>
      <c r="N683" s="55">
        <v>46964</v>
      </c>
    </row>
    <row r="684" spans="2:14" x14ac:dyDescent="0.25">
      <c r="B684" s="79" t="s">
        <v>381</v>
      </c>
      <c r="C684" s="82" t="s">
        <v>2588</v>
      </c>
      <c r="D684" s="82" t="s">
        <v>2647</v>
      </c>
      <c r="E684" s="82" t="s">
        <v>2602</v>
      </c>
      <c r="F684" s="82" t="s">
        <v>2602</v>
      </c>
      <c r="G684" s="85" t="s">
        <v>2602</v>
      </c>
      <c r="H684" s="85" t="s">
        <v>2602</v>
      </c>
      <c r="I684" s="82" t="s">
        <v>2648</v>
      </c>
      <c r="J684" s="82" t="s">
        <v>2649</v>
      </c>
      <c r="K684" s="82" t="s">
        <v>385</v>
      </c>
      <c r="L684" s="88" t="s">
        <v>2617</v>
      </c>
      <c r="M684" s="54">
        <v>46488</v>
      </c>
      <c r="N684" s="55">
        <v>46667</v>
      </c>
    </row>
    <row r="685" spans="2:14" x14ac:dyDescent="0.25">
      <c r="B685" s="81" t="s">
        <v>381</v>
      </c>
      <c r="C685" s="84" t="s">
        <v>2588</v>
      </c>
      <c r="D685" s="84" t="s">
        <v>2647</v>
      </c>
      <c r="E685" s="84" t="s">
        <v>2650</v>
      </c>
      <c r="F685" s="84" t="s">
        <v>2650</v>
      </c>
      <c r="G685" s="87" t="s">
        <v>2650</v>
      </c>
      <c r="H685" s="87" t="s">
        <v>2650</v>
      </c>
      <c r="I685" s="84" t="s">
        <v>2651</v>
      </c>
      <c r="J685" s="84" t="s">
        <v>2652</v>
      </c>
      <c r="K685" s="84" t="s">
        <v>385</v>
      </c>
      <c r="L685" s="90" t="s">
        <v>2617</v>
      </c>
      <c r="M685" s="48">
        <v>46580</v>
      </c>
      <c r="N685" s="49">
        <v>46755</v>
      </c>
    </row>
  </sheetData>
  <phoneticPr fontId="8" type="noConversion"/>
  <printOptions horizontalCentered="1"/>
  <pageMargins left="0.7" right="0.7" top="0.75" bottom="0.75" header="0.3" footer="0.3"/>
  <pageSetup paperSize="9" orientation="portrait" r:id="rId1"/>
  <headerFooter>
    <oddFooter>&amp;L&amp;"Calibri"&amp;12&amp;K0084FF Classification | Internal</oddFooter>
  </headerFooter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3BFB8-344C-4A8B-8FAF-2EC0EF9F76D7}">
  <sheetPr>
    <tabColor rgb="FF004D86"/>
  </sheetPr>
  <dimension ref="A1:AR103"/>
  <sheetViews>
    <sheetView showGridLines="0" topLeftCell="J1" zoomScale="85" zoomScaleNormal="85" workbookViewId="0">
      <selection activeCell="P20" sqref="P20"/>
    </sheetView>
  </sheetViews>
  <sheetFormatPr defaultRowHeight="15" x14ac:dyDescent="0.25"/>
  <cols>
    <col min="1" max="1" width="8.28515625" style="12" bestFit="1" customWidth="1"/>
    <col min="2" max="2" width="26.5703125" style="13" bestFit="1" customWidth="1"/>
    <col min="3" max="3" width="6" style="12" bestFit="1" customWidth="1"/>
    <col min="4" max="4" width="21.7109375" style="13" bestFit="1" customWidth="1"/>
    <col min="5" max="5" width="7.28515625" style="12" bestFit="1" customWidth="1"/>
    <col min="6" max="6" width="24.5703125" style="13" bestFit="1" customWidth="1"/>
    <col min="7" max="7" width="6" style="12" bestFit="1" customWidth="1"/>
    <col min="8" max="8" width="28.28515625" style="13" bestFit="1" customWidth="1"/>
    <col min="9" max="9" width="6" style="12" bestFit="1" customWidth="1"/>
    <col min="10" max="10" width="35" style="13" bestFit="1" customWidth="1"/>
    <col min="11" max="11" width="6" style="12" bestFit="1" customWidth="1"/>
    <col min="12" max="12" width="16.7109375" style="12" bestFit="1" customWidth="1"/>
    <col min="13" max="13" width="8.28515625" style="12" bestFit="1" customWidth="1"/>
    <col min="14" max="14" width="20.7109375" style="12" bestFit="1" customWidth="1"/>
    <col min="15" max="15" width="7.140625" style="12" bestFit="1" customWidth="1"/>
    <col min="16" max="16" width="71.28515625" style="12" bestFit="1" customWidth="1"/>
    <col min="17" max="17" width="7.140625" style="12" bestFit="1" customWidth="1"/>
    <col min="18" max="18" width="29.5703125" style="12" bestFit="1" customWidth="1"/>
    <col min="19" max="19" width="43" style="12" customWidth="1"/>
    <col min="20" max="20" width="21.28515625" style="12" bestFit="1" customWidth="1"/>
    <col min="21" max="21" width="23.85546875" style="12" bestFit="1" customWidth="1"/>
    <col min="22" max="22" width="34.7109375" style="12" bestFit="1" customWidth="1"/>
    <col min="23" max="23" width="12.42578125" style="12" bestFit="1" customWidth="1"/>
    <col min="24" max="24" width="45.7109375" style="12" bestFit="1" customWidth="1"/>
    <col min="25" max="25" width="12.28515625" style="12" bestFit="1" customWidth="1"/>
    <col min="26" max="26" width="19.5703125" style="12" bestFit="1" customWidth="1"/>
    <col min="27" max="27" width="15.7109375" style="12" bestFit="1" customWidth="1"/>
    <col min="28" max="28" width="23.28515625" style="12" bestFit="1" customWidth="1"/>
    <col min="29" max="29" width="36.28515625" style="12" bestFit="1" customWidth="1"/>
    <col min="30" max="30" width="38.85546875" style="13" customWidth="1"/>
    <col min="31" max="31" width="6.85546875" style="12" customWidth="1"/>
    <col min="32" max="32" width="41.28515625" style="13" bestFit="1" customWidth="1"/>
    <col min="33" max="33" width="6.85546875" style="13" customWidth="1"/>
    <col min="34" max="34" width="23.28515625" style="13" bestFit="1" customWidth="1"/>
    <col min="35" max="35" width="6.85546875" style="13" customWidth="1"/>
    <col min="36" max="36" width="23.28515625" style="13" customWidth="1"/>
    <col min="37" max="37" width="17.42578125" style="14" bestFit="1" customWidth="1"/>
    <col min="38" max="38" width="35.7109375" style="15" customWidth="1"/>
    <col min="39" max="39" width="19.42578125" style="12" bestFit="1" customWidth="1"/>
    <col min="40" max="40" width="19.42578125" style="12" customWidth="1"/>
    <col min="41" max="41" width="19.42578125" style="12" bestFit="1" customWidth="1"/>
    <col min="42" max="42" width="19.42578125" style="12" customWidth="1"/>
    <col min="43" max="43" width="23" style="12" bestFit="1" customWidth="1"/>
    <col min="44" max="44" width="21.140625" style="13" customWidth="1"/>
  </cols>
  <sheetData>
    <row r="1" spans="1:44" ht="60.75" customHeight="1" x14ac:dyDescent="0.35">
      <c r="B1" s="26" t="e" vm="1">
        <v>#VALUE!</v>
      </c>
      <c r="D1" s="103" t="s">
        <v>1966</v>
      </c>
      <c r="E1" s="103"/>
      <c r="F1" s="103"/>
    </row>
    <row r="3" spans="1:44" x14ac:dyDescent="0.25">
      <c r="A3" s="101" t="s">
        <v>1967</v>
      </c>
      <c r="B3" s="101"/>
      <c r="C3" s="101"/>
      <c r="D3" s="101"/>
      <c r="E3" s="101"/>
      <c r="F3" s="101"/>
      <c r="G3" s="101"/>
      <c r="H3" s="101"/>
      <c r="I3" s="101"/>
      <c r="J3" s="101"/>
      <c r="K3" s="101"/>
      <c r="L3" s="101"/>
      <c r="M3" s="101"/>
      <c r="N3" s="101"/>
      <c r="O3" s="101"/>
      <c r="P3" s="101"/>
      <c r="Q3" s="101"/>
      <c r="R3" s="101"/>
      <c r="S3" s="101"/>
      <c r="T3" s="102" t="s">
        <v>1968</v>
      </c>
      <c r="U3" s="102"/>
      <c r="V3" s="102"/>
      <c r="W3" s="102"/>
      <c r="X3" s="102"/>
      <c r="AB3" s="13"/>
      <c r="AC3" s="13"/>
    </row>
    <row r="4" spans="1:44" x14ac:dyDescent="0.25">
      <c r="A4" s="101" t="s">
        <v>1969</v>
      </c>
      <c r="B4" s="101"/>
      <c r="C4" s="101" t="s">
        <v>1970</v>
      </c>
      <c r="D4" s="101"/>
      <c r="E4" s="101" t="s">
        <v>1971</v>
      </c>
      <c r="F4" s="101"/>
      <c r="G4" s="101" t="s">
        <v>1972</v>
      </c>
      <c r="H4" s="101"/>
      <c r="I4" s="101" t="s">
        <v>1973</v>
      </c>
      <c r="J4" s="101"/>
      <c r="K4" s="101" t="s">
        <v>1974</v>
      </c>
      <c r="L4" s="101"/>
      <c r="M4" s="101" t="s">
        <v>1975</v>
      </c>
      <c r="N4" s="101"/>
      <c r="O4" s="101" t="s">
        <v>1976</v>
      </c>
      <c r="P4" s="101"/>
      <c r="Q4" s="101"/>
      <c r="R4" s="101"/>
      <c r="S4" s="101"/>
      <c r="T4" s="102" t="s">
        <v>1977</v>
      </c>
      <c r="U4" s="102"/>
      <c r="V4" s="102"/>
      <c r="W4" s="102" t="s">
        <v>1978</v>
      </c>
      <c r="X4" s="102"/>
      <c r="Y4" s="100" t="s">
        <v>1979</v>
      </c>
      <c r="Z4" s="100"/>
      <c r="AA4" s="100"/>
      <c r="AB4" s="100"/>
      <c r="AC4" s="100"/>
    </row>
    <row r="5" spans="1:44" x14ac:dyDescent="0.25">
      <c r="A5" s="27" t="s">
        <v>1980</v>
      </c>
      <c r="B5" s="27" t="s">
        <v>1981</v>
      </c>
      <c r="C5" s="27" t="s">
        <v>1982</v>
      </c>
      <c r="D5" s="27" t="s">
        <v>1983</v>
      </c>
      <c r="E5" s="27" t="s">
        <v>1984</v>
      </c>
      <c r="F5" s="27" t="s">
        <v>1985</v>
      </c>
      <c r="G5" s="27" t="s">
        <v>1986</v>
      </c>
      <c r="H5" s="27" t="s">
        <v>1987</v>
      </c>
      <c r="I5" s="27" t="s">
        <v>1988</v>
      </c>
      <c r="J5" s="27" t="s">
        <v>1989</v>
      </c>
      <c r="K5" s="27" t="s">
        <v>1990</v>
      </c>
      <c r="L5" s="27" t="s">
        <v>1991</v>
      </c>
      <c r="M5" s="27" t="s">
        <v>1992</v>
      </c>
      <c r="N5" s="27" t="s">
        <v>1993</v>
      </c>
      <c r="O5" s="27" t="s">
        <v>1994</v>
      </c>
      <c r="P5" s="27" t="s">
        <v>1995</v>
      </c>
      <c r="Q5" s="27" t="s">
        <v>1996</v>
      </c>
      <c r="R5" s="27" t="s">
        <v>1997</v>
      </c>
      <c r="S5" s="27" t="s">
        <v>1998</v>
      </c>
      <c r="T5" s="38" t="s">
        <v>1999</v>
      </c>
      <c r="U5" s="38" t="s">
        <v>2000</v>
      </c>
      <c r="V5" s="38" t="s">
        <v>2001</v>
      </c>
      <c r="W5" s="38" t="s">
        <v>2002</v>
      </c>
      <c r="X5" s="38" t="s">
        <v>2003</v>
      </c>
      <c r="Y5" s="39" t="s">
        <v>2004</v>
      </c>
      <c r="Z5" s="39" t="s">
        <v>2005</v>
      </c>
      <c r="AA5" s="39" t="s">
        <v>2006</v>
      </c>
      <c r="AB5" s="39" t="s">
        <v>2007</v>
      </c>
      <c r="AC5" s="40" t="s">
        <v>2008</v>
      </c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</row>
    <row r="6" spans="1:44" x14ac:dyDescent="0.25">
      <c r="A6" s="66" t="s">
        <v>76</v>
      </c>
      <c r="B6" s="68" t="s">
        <v>2009</v>
      </c>
      <c r="C6" s="66" t="s">
        <v>77</v>
      </c>
      <c r="D6" s="68" t="s">
        <v>2010</v>
      </c>
      <c r="E6" s="66" t="s">
        <v>78</v>
      </c>
      <c r="F6" s="68" t="s">
        <v>2011</v>
      </c>
      <c r="G6" s="66" t="s">
        <v>2012</v>
      </c>
      <c r="H6" s="68" t="s">
        <v>2013</v>
      </c>
      <c r="I6" s="66" t="s">
        <v>2014</v>
      </c>
      <c r="J6" s="68" t="s">
        <v>2015</v>
      </c>
      <c r="K6" s="70" t="s">
        <v>14</v>
      </c>
      <c r="L6" s="68" t="s">
        <v>2016</v>
      </c>
      <c r="M6" s="70" t="s">
        <v>115</v>
      </c>
      <c r="N6" s="68" t="s">
        <v>2017</v>
      </c>
      <c r="O6" s="66" t="s">
        <v>288</v>
      </c>
      <c r="P6" s="68" t="s">
        <v>2018</v>
      </c>
      <c r="Q6" s="66" t="s">
        <v>14</v>
      </c>
      <c r="R6" s="68" t="s">
        <v>2019</v>
      </c>
      <c r="S6" s="68" t="s">
        <v>2020</v>
      </c>
      <c r="T6" s="73" t="s">
        <v>2021</v>
      </c>
      <c r="U6" s="75" t="s">
        <v>2022</v>
      </c>
      <c r="V6" s="75" t="s">
        <v>2023</v>
      </c>
      <c r="W6" s="75" t="s">
        <v>2024</v>
      </c>
      <c r="X6" s="77" t="s">
        <v>2025</v>
      </c>
      <c r="Y6" s="77" t="s">
        <v>285</v>
      </c>
      <c r="Z6" s="70" t="s">
        <v>2026</v>
      </c>
      <c r="AA6" s="77" t="s">
        <v>2027</v>
      </c>
      <c r="AB6" s="77" t="s">
        <v>2028</v>
      </c>
      <c r="AC6" s="77" t="s">
        <v>6</v>
      </c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</row>
    <row r="7" spans="1:44" x14ac:dyDescent="0.25">
      <c r="A7" s="41"/>
      <c r="B7" s="18"/>
      <c r="C7" s="41"/>
      <c r="D7" s="16"/>
      <c r="E7" s="41"/>
      <c r="F7" s="16"/>
      <c r="G7" s="41" t="s">
        <v>2029</v>
      </c>
      <c r="H7" s="18" t="s">
        <v>2030</v>
      </c>
      <c r="I7" s="41" t="s">
        <v>2031</v>
      </c>
      <c r="J7" s="18" t="s">
        <v>2032</v>
      </c>
      <c r="K7" s="17" t="s">
        <v>81</v>
      </c>
      <c r="L7" s="18" t="s">
        <v>2033</v>
      </c>
      <c r="M7" s="17" t="s">
        <v>141</v>
      </c>
      <c r="N7" s="18" t="s">
        <v>2034</v>
      </c>
      <c r="O7" s="41" t="s">
        <v>372</v>
      </c>
      <c r="P7" s="18" t="s">
        <v>2035</v>
      </c>
      <c r="Q7" s="41" t="s">
        <v>2036</v>
      </c>
      <c r="R7" s="18" t="s">
        <v>2037</v>
      </c>
      <c r="S7" s="18" t="s">
        <v>2038</v>
      </c>
      <c r="T7" s="42" t="s">
        <v>71</v>
      </c>
      <c r="U7" s="47" t="s">
        <v>2039</v>
      </c>
      <c r="V7" s="47" t="s">
        <v>2040</v>
      </c>
      <c r="W7" s="47" t="s">
        <v>2041</v>
      </c>
      <c r="X7" s="16" t="s">
        <v>2042</v>
      </c>
      <c r="Y7" s="16" t="s">
        <v>144</v>
      </c>
      <c r="Z7" s="17" t="s">
        <v>2043</v>
      </c>
      <c r="AA7" s="16" t="s">
        <v>2044</v>
      </c>
      <c r="AB7" s="16" t="s">
        <v>1061</v>
      </c>
      <c r="AC7" s="16" t="s">
        <v>2581</v>
      </c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</row>
    <row r="8" spans="1:44" x14ac:dyDescent="0.25">
      <c r="A8" s="41"/>
      <c r="B8" s="18"/>
      <c r="C8" s="41"/>
      <c r="D8" s="18"/>
      <c r="E8" s="41"/>
      <c r="F8" s="16"/>
      <c r="G8" s="41" t="s">
        <v>2045</v>
      </c>
      <c r="H8" s="18" t="s">
        <v>2046</v>
      </c>
      <c r="I8" s="41" t="s">
        <v>2047</v>
      </c>
      <c r="J8" s="18" t="s">
        <v>2028</v>
      </c>
      <c r="K8" s="17" t="s">
        <v>91</v>
      </c>
      <c r="L8" s="18" t="s">
        <v>2048</v>
      </c>
      <c r="M8" s="17" t="s">
        <v>2049</v>
      </c>
      <c r="N8" s="18" t="s">
        <v>2050</v>
      </c>
      <c r="O8" s="41" t="s">
        <v>83</v>
      </c>
      <c r="P8" s="18" t="s">
        <v>2051</v>
      </c>
      <c r="Q8" s="41" t="s">
        <v>2052</v>
      </c>
      <c r="R8" s="18" t="s">
        <v>2053</v>
      </c>
      <c r="S8" s="18"/>
      <c r="T8" s="42" t="s">
        <v>2054</v>
      </c>
      <c r="U8" s="47" t="s">
        <v>2055</v>
      </c>
      <c r="V8" s="47" t="s">
        <v>2056</v>
      </c>
      <c r="W8" s="47" t="s">
        <v>2057</v>
      </c>
      <c r="X8" s="16" t="s">
        <v>2058</v>
      </c>
      <c r="Y8" s="16" t="s">
        <v>2059</v>
      </c>
      <c r="Z8" s="17" t="s">
        <v>2060</v>
      </c>
      <c r="AA8" s="16" t="s">
        <v>2061</v>
      </c>
      <c r="AB8" s="16" t="s">
        <v>2062</v>
      </c>
      <c r="AC8" s="16" t="s">
        <v>2063</v>
      </c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</row>
    <row r="9" spans="1:44" x14ac:dyDescent="0.25">
      <c r="A9" s="41"/>
      <c r="B9" s="18"/>
      <c r="C9" s="41"/>
      <c r="D9" s="18"/>
      <c r="E9" s="41"/>
      <c r="F9" s="16"/>
      <c r="G9" s="41" t="s">
        <v>2064</v>
      </c>
      <c r="H9" s="18" t="s">
        <v>2065</v>
      </c>
      <c r="I9" s="41" t="s">
        <v>2066</v>
      </c>
      <c r="J9" s="18" t="s">
        <v>2067</v>
      </c>
      <c r="K9" s="17" t="s">
        <v>94</v>
      </c>
      <c r="L9" s="18" t="s">
        <v>2068</v>
      </c>
      <c r="M9" s="17" t="s">
        <v>82</v>
      </c>
      <c r="N9" s="18" t="s">
        <v>2069</v>
      </c>
      <c r="O9" s="41" t="s">
        <v>88</v>
      </c>
      <c r="P9" s="18" t="s">
        <v>2070</v>
      </c>
      <c r="Q9" s="41" t="s">
        <v>2071</v>
      </c>
      <c r="R9" s="18" t="s">
        <v>2072</v>
      </c>
      <c r="S9" s="18"/>
      <c r="T9" s="42" t="s">
        <v>2073</v>
      </c>
      <c r="U9" s="47" t="s">
        <v>2074</v>
      </c>
      <c r="V9" s="47" t="s">
        <v>2075</v>
      </c>
      <c r="W9" s="47" t="s">
        <v>2076</v>
      </c>
      <c r="X9" s="16" t="s">
        <v>2077</v>
      </c>
      <c r="Y9" s="16" t="s">
        <v>2078</v>
      </c>
      <c r="Z9" s="17" t="s">
        <v>2079</v>
      </c>
      <c r="AA9" s="16" t="s">
        <v>2080</v>
      </c>
      <c r="AB9" s="16" t="s">
        <v>2081</v>
      </c>
      <c r="AC9" s="16" t="s">
        <v>2082</v>
      </c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</row>
    <row r="10" spans="1:44" x14ac:dyDescent="0.25">
      <c r="A10" s="41"/>
      <c r="B10" s="18"/>
      <c r="C10" s="41"/>
      <c r="D10" s="18"/>
      <c r="E10" s="41"/>
      <c r="F10" s="16"/>
      <c r="G10" s="41" t="s">
        <v>2083</v>
      </c>
      <c r="H10" s="18" t="s">
        <v>2084</v>
      </c>
      <c r="I10" s="41" t="s">
        <v>2085</v>
      </c>
      <c r="J10" s="18" t="s">
        <v>2086</v>
      </c>
      <c r="K10" s="17" t="s">
        <v>97</v>
      </c>
      <c r="L10" s="18" t="s">
        <v>2087</v>
      </c>
      <c r="M10" s="17" t="s">
        <v>100</v>
      </c>
      <c r="N10" s="18" t="s">
        <v>2088</v>
      </c>
      <c r="O10" s="41" t="s">
        <v>373</v>
      </c>
      <c r="P10" s="18" t="s">
        <v>2089</v>
      </c>
      <c r="Q10" s="41" t="s">
        <v>84</v>
      </c>
      <c r="R10" s="18" t="s">
        <v>2090</v>
      </c>
      <c r="S10" s="18"/>
      <c r="T10" s="42" t="s">
        <v>2091</v>
      </c>
      <c r="U10" s="47" t="s">
        <v>2092</v>
      </c>
      <c r="V10" s="47" t="s">
        <v>2093</v>
      </c>
      <c r="W10" s="47" t="s">
        <v>2094</v>
      </c>
      <c r="X10" s="16" t="s">
        <v>2095</v>
      </c>
      <c r="Y10" s="16" t="s">
        <v>2096</v>
      </c>
      <c r="Z10" s="17" t="s">
        <v>2097</v>
      </c>
      <c r="AA10" s="16" t="s">
        <v>2098</v>
      </c>
      <c r="AB10" s="16" t="s">
        <v>2099</v>
      </c>
      <c r="AC10" s="16" t="s">
        <v>2100</v>
      </c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</row>
    <row r="11" spans="1:44" x14ac:dyDescent="0.25">
      <c r="A11" s="41"/>
      <c r="B11" s="18"/>
      <c r="C11" s="41"/>
      <c r="D11" s="18"/>
      <c r="E11" s="41"/>
      <c r="F11" s="16"/>
      <c r="G11" s="41" t="s">
        <v>2101</v>
      </c>
      <c r="H11" s="18" t="s">
        <v>2102</v>
      </c>
      <c r="I11" s="41" t="s">
        <v>2103</v>
      </c>
      <c r="J11" s="18" t="s">
        <v>1251</v>
      </c>
      <c r="K11" s="17" t="s">
        <v>152</v>
      </c>
      <c r="L11" s="18" t="s">
        <v>2104</v>
      </c>
      <c r="M11" s="17" t="s">
        <v>106</v>
      </c>
      <c r="N11" s="18" t="s">
        <v>2105</v>
      </c>
      <c r="O11" s="41" t="s">
        <v>116</v>
      </c>
      <c r="P11" s="18" t="s">
        <v>2106</v>
      </c>
      <c r="Q11" s="41" t="s">
        <v>2107</v>
      </c>
      <c r="R11" s="18" t="s">
        <v>2108</v>
      </c>
      <c r="S11" s="18"/>
      <c r="T11" s="42" t="s">
        <v>2109</v>
      </c>
      <c r="U11" s="47" t="s">
        <v>2110</v>
      </c>
      <c r="V11" s="47" t="s">
        <v>2111</v>
      </c>
      <c r="W11" s="47" t="s">
        <v>2112</v>
      </c>
      <c r="X11" s="16" t="s">
        <v>2113</v>
      </c>
      <c r="Y11" s="16" t="s">
        <v>2114</v>
      </c>
      <c r="Z11" s="17" t="s">
        <v>2115</v>
      </c>
      <c r="AA11" s="16" t="s">
        <v>2116</v>
      </c>
      <c r="AB11" s="16" t="s">
        <v>8</v>
      </c>
      <c r="AC11" s="16" t="s">
        <v>2117</v>
      </c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</row>
    <row r="12" spans="1:44" x14ac:dyDescent="0.25">
      <c r="A12" s="41"/>
      <c r="B12" s="18"/>
      <c r="C12" s="41"/>
      <c r="D12" s="18"/>
      <c r="E12" s="41"/>
      <c r="F12" s="16"/>
      <c r="G12" s="41" t="s">
        <v>2118</v>
      </c>
      <c r="H12" s="18" t="s">
        <v>2119</v>
      </c>
      <c r="I12" s="41" t="s">
        <v>2120</v>
      </c>
      <c r="J12" s="18" t="s">
        <v>2121</v>
      </c>
      <c r="K12" s="17" t="s">
        <v>155</v>
      </c>
      <c r="L12" s="18" t="s">
        <v>2122</v>
      </c>
      <c r="M12" s="17" t="s">
        <v>112</v>
      </c>
      <c r="N12" s="18" t="s">
        <v>2123</v>
      </c>
      <c r="O12" s="41" t="s">
        <v>374</v>
      </c>
      <c r="P12" s="18" t="s">
        <v>2124</v>
      </c>
      <c r="Q12" s="41" t="s">
        <v>2125</v>
      </c>
      <c r="R12" s="18" t="s">
        <v>2126</v>
      </c>
      <c r="S12" s="18"/>
      <c r="T12" s="42" t="s">
        <v>2127</v>
      </c>
      <c r="U12" s="47" t="s">
        <v>2128</v>
      </c>
      <c r="V12" s="47" t="s">
        <v>2129</v>
      </c>
      <c r="W12" s="47" t="s">
        <v>2130</v>
      </c>
      <c r="X12" s="16" t="s">
        <v>2131</v>
      </c>
      <c r="Y12" s="16" t="s">
        <v>2132</v>
      </c>
      <c r="Z12" s="17" t="s">
        <v>2133</v>
      </c>
      <c r="AA12" s="16" t="s">
        <v>2134</v>
      </c>
      <c r="AB12" s="16" t="s">
        <v>2135</v>
      </c>
      <c r="AC12" s="16" t="s">
        <v>2582</v>
      </c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</row>
    <row r="13" spans="1:44" x14ac:dyDescent="0.25">
      <c r="A13" s="41"/>
      <c r="B13" s="18"/>
      <c r="C13" s="41"/>
      <c r="D13" s="18"/>
      <c r="E13" s="41"/>
      <c r="F13" s="16"/>
      <c r="G13" s="41" t="s">
        <v>2136</v>
      </c>
      <c r="H13" s="18" t="s">
        <v>2137</v>
      </c>
      <c r="I13" s="41" t="s">
        <v>2138</v>
      </c>
      <c r="J13" s="18" t="s">
        <v>2139</v>
      </c>
      <c r="K13" s="17" t="s">
        <v>167</v>
      </c>
      <c r="L13" s="18" t="s">
        <v>2140</v>
      </c>
      <c r="M13" s="17" t="s">
        <v>133</v>
      </c>
      <c r="N13" s="18" t="s">
        <v>2141</v>
      </c>
      <c r="O13" s="41" t="s">
        <v>127</v>
      </c>
      <c r="P13" s="18" t="s">
        <v>2142</v>
      </c>
      <c r="Q13" s="41" t="s">
        <v>2143</v>
      </c>
      <c r="R13" s="18" t="s">
        <v>2144</v>
      </c>
      <c r="S13" s="18"/>
      <c r="T13" s="42" t="s">
        <v>2145</v>
      </c>
      <c r="U13" s="47" t="s">
        <v>2146</v>
      </c>
      <c r="V13" s="47" t="s">
        <v>2147</v>
      </c>
      <c r="W13" s="47" t="s">
        <v>2148</v>
      </c>
      <c r="X13" s="16" t="s">
        <v>2149</v>
      </c>
      <c r="Y13" s="16" t="s">
        <v>2150</v>
      </c>
      <c r="Z13" s="17" t="s">
        <v>2151</v>
      </c>
      <c r="AA13" s="16" t="s">
        <v>2152</v>
      </c>
      <c r="AB13" s="16" t="s">
        <v>1058</v>
      </c>
      <c r="AC13" s="16" t="s">
        <v>2583</v>
      </c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</row>
    <row r="14" spans="1:44" x14ac:dyDescent="0.25">
      <c r="A14" s="41"/>
      <c r="B14" s="18"/>
      <c r="C14" s="41"/>
      <c r="D14" s="18"/>
      <c r="E14" s="41"/>
      <c r="F14" s="16"/>
      <c r="G14" s="41" t="s">
        <v>2153</v>
      </c>
      <c r="H14" s="18" t="s">
        <v>2154</v>
      </c>
      <c r="I14" s="41" t="s">
        <v>2155</v>
      </c>
      <c r="J14" s="18" t="s">
        <v>2156</v>
      </c>
      <c r="K14" s="17" t="s">
        <v>170</v>
      </c>
      <c r="L14" s="18" t="s">
        <v>2157</v>
      </c>
      <c r="M14" s="17" t="s">
        <v>2158</v>
      </c>
      <c r="N14" s="18" t="s">
        <v>2159</v>
      </c>
      <c r="O14" s="41" t="s">
        <v>2160</v>
      </c>
      <c r="P14" s="18" t="s">
        <v>2161</v>
      </c>
      <c r="Q14" s="41" t="s">
        <v>2162</v>
      </c>
      <c r="R14" s="18" t="s">
        <v>2163</v>
      </c>
      <c r="S14" s="18"/>
      <c r="T14" s="42" t="s">
        <v>2164</v>
      </c>
      <c r="U14" s="47" t="s">
        <v>2165</v>
      </c>
      <c r="V14" s="47" t="s">
        <v>70</v>
      </c>
      <c r="W14" s="47" t="s">
        <v>2166</v>
      </c>
      <c r="X14" s="16" t="s">
        <v>2167</v>
      </c>
      <c r="Y14" s="16" t="s">
        <v>2168</v>
      </c>
      <c r="Z14" s="17" t="s">
        <v>2169</v>
      </c>
      <c r="AA14" s="16" t="s">
        <v>2170</v>
      </c>
      <c r="AB14" s="16" t="s">
        <v>2171</v>
      </c>
      <c r="AC14" s="16" t="s">
        <v>2172</v>
      </c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</row>
    <row r="15" spans="1:44" x14ac:dyDescent="0.25">
      <c r="A15" s="41"/>
      <c r="B15" s="18"/>
      <c r="C15" s="41"/>
      <c r="D15" s="18"/>
      <c r="E15" s="41"/>
      <c r="F15" s="18"/>
      <c r="G15" s="41" t="s">
        <v>319</v>
      </c>
      <c r="H15" s="18" t="s">
        <v>2173</v>
      </c>
      <c r="I15" s="41" t="s">
        <v>2118</v>
      </c>
      <c r="J15" s="18" t="s">
        <v>2174</v>
      </c>
      <c r="K15" s="17" t="s">
        <v>173</v>
      </c>
      <c r="L15" s="18" t="s">
        <v>2175</v>
      </c>
      <c r="M15" s="17" t="s">
        <v>2176</v>
      </c>
      <c r="N15" s="18" t="s">
        <v>2177</v>
      </c>
      <c r="O15" s="41" t="s">
        <v>2178</v>
      </c>
      <c r="P15" s="18" t="s">
        <v>2179</v>
      </c>
      <c r="Q15" s="41" t="s">
        <v>2180</v>
      </c>
      <c r="R15" s="18" t="s">
        <v>2181</v>
      </c>
      <c r="S15" s="18"/>
      <c r="T15" s="42" t="s">
        <v>2182</v>
      </c>
      <c r="U15" s="47" t="s">
        <v>2183</v>
      </c>
      <c r="V15" s="47" t="s">
        <v>2184</v>
      </c>
      <c r="W15" s="47" t="s">
        <v>2185</v>
      </c>
      <c r="X15" s="16" t="s">
        <v>2186</v>
      </c>
      <c r="Y15" s="16" t="s">
        <v>73</v>
      </c>
      <c r="Z15" s="17" t="s">
        <v>2187</v>
      </c>
      <c r="AA15" s="16" t="s">
        <v>2188</v>
      </c>
      <c r="AB15" s="16"/>
      <c r="AC15" s="16" t="s">
        <v>2189</v>
      </c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</row>
    <row r="16" spans="1:44" x14ac:dyDescent="0.25">
      <c r="A16" s="41"/>
      <c r="B16" s="18"/>
      <c r="C16" s="41"/>
      <c r="D16" s="18"/>
      <c r="E16" s="41"/>
      <c r="F16" s="18"/>
      <c r="G16" s="41" t="s">
        <v>2190</v>
      </c>
      <c r="H16" s="18" t="s">
        <v>2191</v>
      </c>
      <c r="I16" s="41" t="s">
        <v>1260</v>
      </c>
      <c r="J16" s="18" t="s">
        <v>2192</v>
      </c>
      <c r="K16" s="17" t="s">
        <v>176</v>
      </c>
      <c r="L16" s="18" t="s">
        <v>2193</v>
      </c>
      <c r="M16" s="17" t="s">
        <v>2584</v>
      </c>
      <c r="N16" s="18" t="s">
        <v>2194</v>
      </c>
      <c r="O16" s="52"/>
      <c r="P16" s="18"/>
      <c r="Q16" s="41" t="s">
        <v>2195</v>
      </c>
      <c r="R16" s="18" t="s">
        <v>2196</v>
      </c>
      <c r="S16" s="18"/>
      <c r="T16" s="42" t="s">
        <v>2197</v>
      </c>
      <c r="U16" s="47" t="s">
        <v>2198</v>
      </c>
      <c r="V16" s="47" t="s">
        <v>2199</v>
      </c>
      <c r="W16" s="47" t="s">
        <v>2200</v>
      </c>
      <c r="X16" s="16" t="s">
        <v>2201</v>
      </c>
      <c r="Y16" s="16" t="s">
        <v>189</v>
      </c>
      <c r="Z16" s="17"/>
      <c r="AA16" s="16"/>
      <c r="AB16" s="16"/>
      <c r="AC16" s="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</row>
    <row r="17" spans="1:44" x14ac:dyDescent="0.25">
      <c r="A17" s="41"/>
      <c r="B17" s="18"/>
      <c r="C17" s="41"/>
      <c r="D17" s="18"/>
      <c r="E17" s="41"/>
      <c r="F17" s="18"/>
      <c r="G17" s="41" t="s">
        <v>2202</v>
      </c>
      <c r="H17" s="18" t="s">
        <v>2203</v>
      </c>
      <c r="I17" s="41" t="s">
        <v>2204</v>
      </c>
      <c r="J17" s="18" t="s">
        <v>2205</v>
      </c>
      <c r="K17" s="17" t="s">
        <v>179</v>
      </c>
      <c r="L17" s="18" t="s">
        <v>2206</v>
      </c>
      <c r="M17" s="17" t="s">
        <v>258</v>
      </c>
      <c r="N17" s="18" t="s">
        <v>2207</v>
      </c>
      <c r="O17" s="52"/>
      <c r="P17" s="18"/>
      <c r="Q17" s="41" t="s">
        <v>2208</v>
      </c>
      <c r="R17" s="18" t="s">
        <v>2209</v>
      </c>
      <c r="S17" s="18"/>
      <c r="T17" s="42" t="s">
        <v>2210</v>
      </c>
      <c r="U17" s="47" t="s">
        <v>2211</v>
      </c>
      <c r="V17" s="47" t="s">
        <v>2212</v>
      </c>
      <c r="W17" s="47" t="s">
        <v>2213</v>
      </c>
      <c r="X17" s="16" t="s">
        <v>2214</v>
      </c>
      <c r="Y17" s="16" t="s">
        <v>2215</v>
      </c>
      <c r="Z17" s="17"/>
      <c r="AA17" s="16"/>
      <c r="AB17" s="16"/>
      <c r="AC17" s="16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</row>
    <row r="18" spans="1:44" x14ac:dyDescent="0.25">
      <c r="A18" s="41"/>
      <c r="B18" s="18"/>
      <c r="C18" s="41"/>
      <c r="D18" s="18"/>
      <c r="E18" s="41"/>
      <c r="F18" s="18"/>
      <c r="G18" s="41" t="s">
        <v>2216</v>
      </c>
      <c r="H18" s="18" t="s">
        <v>2217</v>
      </c>
      <c r="I18" s="41" t="s">
        <v>80</v>
      </c>
      <c r="J18" s="18" t="s">
        <v>399</v>
      </c>
      <c r="K18" s="17" t="s">
        <v>182</v>
      </c>
      <c r="L18" s="18" t="s">
        <v>2218</v>
      </c>
      <c r="M18" s="17"/>
      <c r="N18" s="18"/>
      <c r="O18" s="52"/>
      <c r="P18" s="18"/>
      <c r="Q18" s="41" t="s">
        <v>2219</v>
      </c>
      <c r="R18" s="18" t="s">
        <v>2220</v>
      </c>
      <c r="S18" s="18"/>
      <c r="T18" s="42" t="s">
        <v>2221</v>
      </c>
      <c r="U18" s="47" t="s">
        <v>2222</v>
      </c>
      <c r="V18" s="47" t="s">
        <v>2223</v>
      </c>
      <c r="W18" s="47" t="s">
        <v>2224</v>
      </c>
      <c r="X18" s="16" t="s">
        <v>2225</v>
      </c>
      <c r="Y18" s="16" t="s">
        <v>2226</v>
      </c>
      <c r="Z18" s="17"/>
      <c r="AA18" s="16"/>
      <c r="AB18" s="16"/>
      <c r="AC18" s="16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</row>
    <row r="19" spans="1:44" x14ac:dyDescent="0.25">
      <c r="A19" s="41"/>
      <c r="B19" s="18"/>
      <c r="C19" s="41"/>
      <c r="D19" s="18"/>
      <c r="E19" s="41"/>
      <c r="F19" s="18"/>
      <c r="G19" s="41" t="s">
        <v>2227</v>
      </c>
      <c r="H19" s="18" t="s">
        <v>2228</v>
      </c>
      <c r="I19" s="41" t="s">
        <v>2229</v>
      </c>
      <c r="J19" s="18" t="s">
        <v>2230</v>
      </c>
      <c r="K19" s="17" t="s">
        <v>210</v>
      </c>
      <c r="L19" s="18" t="s">
        <v>2231</v>
      </c>
      <c r="M19" s="17"/>
      <c r="N19" s="18"/>
      <c r="O19" s="52"/>
      <c r="P19" s="18"/>
      <c r="Q19" s="41" t="s">
        <v>2232</v>
      </c>
      <c r="R19" s="18" t="s">
        <v>2233</v>
      </c>
      <c r="S19" s="18"/>
      <c r="T19" s="53"/>
      <c r="U19" s="47" t="s">
        <v>2234</v>
      </c>
      <c r="V19" s="47" t="s">
        <v>2235</v>
      </c>
      <c r="W19" s="47" t="s">
        <v>2236</v>
      </c>
      <c r="X19" s="16" t="s">
        <v>2237</v>
      </c>
      <c r="Y19" s="16" t="s">
        <v>138</v>
      </c>
      <c r="Z19" s="17"/>
      <c r="AA19" s="16"/>
      <c r="AB19" s="16"/>
      <c r="AC19" s="16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</row>
    <row r="20" spans="1:44" x14ac:dyDescent="0.25">
      <c r="A20" s="41"/>
      <c r="B20" s="18"/>
      <c r="C20" s="41"/>
      <c r="D20" s="18"/>
      <c r="E20" s="41"/>
      <c r="F20" s="18"/>
      <c r="G20" s="41" t="s">
        <v>2238</v>
      </c>
      <c r="H20" s="18" t="s">
        <v>2239</v>
      </c>
      <c r="I20" s="41" t="s">
        <v>2240</v>
      </c>
      <c r="J20" s="18" t="s">
        <v>2241</v>
      </c>
      <c r="K20" s="17" t="s">
        <v>214</v>
      </c>
      <c r="L20" s="18" t="s">
        <v>2242</v>
      </c>
      <c r="M20" s="17"/>
      <c r="N20" s="18"/>
      <c r="O20" s="52"/>
      <c r="P20" s="18"/>
      <c r="Q20" s="41" t="s">
        <v>2243</v>
      </c>
      <c r="R20" s="18" t="s">
        <v>2244</v>
      </c>
      <c r="S20" s="18"/>
      <c r="T20" s="53"/>
      <c r="U20" s="47" t="s">
        <v>2245</v>
      </c>
      <c r="V20" s="47" t="s">
        <v>2246</v>
      </c>
      <c r="W20" s="47"/>
      <c r="X20" s="16"/>
      <c r="Y20" s="16" t="s">
        <v>2247</v>
      </c>
      <c r="Z20" s="17"/>
      <c r="AA20" s="16"/>
      <c r="AB20" s="16"/>
      <c r="AC20" s="16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</row>
    <row r="21" spans="1:44" x14ac:dyDescent="0.25">
      <c r="A21" s="41"/>
      <c r="B21" s="18"/>
      <c r="C21" s="41"/>
      <c r="D21" s="18"/>
      <c r="E21" s="41"/>
      <c r="F21" s="18"/>
      <c r="G21" s="41" t="s">
        <v>2240</v>
      </c>
      <c r="H21" s="18" t="s">
        <v>2248</v>
      </c>
      <c r="I21" s="41" t="s">
        <v>2249</v>
      </c>
      <c r="J21" s="18" t="s">
        <v>2250</v>
      </c>
      <c r="K21" s="17" t="s">
        <v>217</v>
      </c>
      <c r="L21" s="18" t="s">
        <v>2251</v>
      </c>
      <c r="M21" s="17"/>
      <c r="N21" s="18"/>
      <c r="O21" s="52"/>
      <c r="P21" s="18"/>
      <c r="Q21" s="41" t="s">
        <v>117</v>
      </c>
      <c r="R21" s="18" t="s">
        <v>2017</v>
      </c>
      <c r="S21" s="18"/>
      <c r="T21" s="53"/>
      <c r="U21" s="47" t="s">
        <v>2252</v>
      </c>
      <c r="V21" s="47" t="s">
        <v>2253</v>
      </c>
      <c r="W21" s="47"/>
      <c r="X21" s="16"/>
      <c r="Y21" s="16" t="s">
        <v>185</v>
      </c>
      <c r="Z21" s="17"/>
      <c r="AA21" s="16"/>
      <c r="AB21" s="16"/>
      <c r="AC21" s="16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</row>
    <row r="22" spans="1:44" x14ac:dyDescent="0.25">
      <c r="A22" s="41"/>
      <c r="B22" s="18"/>
      <c r="C22" s="41"/>
      <c r="D22" s="18"/>
      <c r="E22" s="41"/>
      <c r="F22" s="18"/>
      <c r="G22" s="41" t="s">
        <v>2254</v>
      </c>
      <c r="H22" s="18" t="s">
        <v>2255</v>
      </c>
      <c r="I22" s="41" t="s">
        <v>2256</v>
      </c>
      <c r="J22" s="18" t="s">
        <v>2257</v>
      </c>
      <c r="K22" s="17" t="s">
        <v>220</v>
      </c>
      <c r="L22" s="18" t="s">
        <v>2258</v>
      </c>
      <c r="M22" s="17"/>
      <c r="N22" s="18"/>
      <c r="O22" s="52"/>
      <c r="P22" s="18"/>
      <c r="Q22" s="52"/>
      <c r="R22" s="18"/>
      <c r="S22" s="18"/>
      <c r="T22" s="53"/>
      <c r="U22" s="47" t="s">
        <v>284</v>
      </c>
      <c r="V22" s="47" t="s">
        <v>2259</v>
      </c>
      <c r="W22" s="47"/>
      <c r="X22" s="16"/>
      <c r="Y22" s="16"/>
      <c r="Z22" s="17"/>
      <c r="AA22" s="16"/>
      <c r="AB22" s="16"/>
      <c r="AC22" s="16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</row>
    <row r="23" spans="1:44" x14ac:dyDescent="0.25">
      <c r="A23" s="41"/>
      <c r="B23" s="18"/>
      <c r="C23" s="41"/>
      <c r="D23" s="18"/>
      <c r="E23" s="41"/>
      <c r="F23" s="18"/>
      <c r="G23" s="41" t="s">
        <v>2260</v>
      </c>
      <c r="H23" s="18" t="s">
        <v>2261</v>
      </c>
      <c r="I23" s="41" t="s">
        <v>2262</v>
      </c>
      <c r="J23" s="18" t="s">
        <v>2263</v>
      </c>
      <c r="K23" s="17" t="s">
        <v>223</v>
      </c>
      <c r="L23" s="18" t="s">
        <v>2264</v>
      </c>
      <c r="M23" s="17"/>
      <c r="N23" s="18"/>
      <c r="O23" s="52"/>
      <c r="P23" s="18"/>
      <c r="Q23" s="52"/>
      <c r="R23" s="18"/>
      <c r="S23" s="18"/>
      <c r="T23" s="53"/>
      <c r="U23" s="47" t="s">
        <v>2265</v>
      </c>
      <c r="V23" s="47" t="s">
        <v>2266</v>
      </c>
      <c r="W23" s="47"/>
      <c r="X23" s="16"/>
      <c r="Y23" s="16"/>
      <c r="Z23" s="17"/>
      <c r="AA23" s="16"/>
      <c r="AB23" s="16"/>
      <c r="AC23" s="16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</row>
    <row r="24" spans="1:44" x14ac:dyDescent="0.25">
      <c r="A24" s="41"/>
      <c r="B24" s="18"/>
      <c r="C24" s="41"/>
      <c r="D24" s="18"/>
      <c r="E24" s="41"/>
      <c r="F24" s="18"/>
      <c r="G24" s="41" t="s">
        <v>2267</v>
      </c>
      <c r="H24" s="18" t="s">
        <v>2268</v>
      </c>
      <c r="I24" s="41" t="s">
        <v>2269</v>
      </c>
      <c r="J24" s="18" t="s">
        <v>2270</v>
      </c>
      <c r="K24" s="17" t="s">
        <v>226</v>
      </c>
      <c r="L24" s="18" t="s">
        <v>2271</v>
      </c>
      <c r="M24" s="17"/>
      <c r="N24" s="18"/>
      <c r="O24" s="52"/>
      <c r="P24" s="18"/>
      <c r="Q24" s="52"/>
      <c r="R24" s="18"/>
      <c r="S24" s="18"/>
      <c r="T24" s="53"/>
      <c r="U24" s="47" t="s">
        <v>2272</v>
      </c>
      <c r="V24" s="47" t="s">
        <v>2273</v>
      </c>
      <c r="W24" s="47"/>
      <c r="X24" s="16"/>
      <c r="Y24" s="16"/>
      <c r="Z24" s="17"/>
      <c r="AA24" s="16"/>
      <c r="AB24" s="16"/>
      <c r="AC24" s="16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</row>
    <row r="25" spans="1:44" x14ac:dyDescent="0.25">
      <c r="A25" s="41"/>
      <c r="B25" s="18"/>
      <c r="C25" s="41"/>
      <c r="D25" s="18"/>
      <c r="E25" s="41"/>
      <c r="F25" s="18"/>
      <c r="G25" s="41" t="s">
        <v>2274</v>
      </c>
      <c r="H25" s="18" t="s">
        <v>2275</v>
      </c>
      <c r="I25" s="41" t="s">
        <v>2276</v>
      </c>
      <c r="J25" s="18" t="s">
        <v>2277</v>
      </c>
      <c r="K25" s="17" t="s">
        <v>229</v>
      </c>
      <c r="L25" s="18" t="s">
        <v>2278</v>
      </c>
      <c r="M25" s="17"/>
      <c r="N25" s="18"/>
      <c r="O25" s="52"/>
      <c r="P25" s="18"/>
      <c r="Q25" s="52"/>
      <c r="R25" s="18"/>
      <c r="S25" s="18"/>
      <c r="T25" s="53"/>
      <c r="U25" s="47" t="s">
        <v>2279</v>
      </c>
      <c r="V25" s="47" t="s">
        <v>2280</v>
      </c>
      <c r="W25" s="47"/>
      <c r="X25" s="16"/>
      <c r="Y25" s="16"/>
      <c r="Z25" s="17"/>
      <c r="AA25" s="16"/>
      <c r="AB25" s="16"/>
      <c r="AC25" s="16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</row>
    <row r="26" spans="1:44" x14ac:dyDescent="0.25">
      <c r="A26" s="41"/>
      <c r="B26" s="18"/>
      <c r="C26" s="41"/>
      <c r="D26" s="18"/>
      <c r="E26" s="41"/>
      <c r="F26" s="18"/>
      <c r="G26" s="41" t="s">
        <v>2281</v>
      </c>
      <c r="H26" s="18" t="s">
        <v>2282</v>
      </c>
      <c r="I26" s="41" t="s">
        <v>2283</v>
      </c>
      <c r="J26" s="18" t="s">
        <v>1061</v>
      </c>
      <c r="K26" s="17" t="s">
        <v>309</v>
      </c>
      <c r="L26" s="18" t="s">
        <v>2284</v>
      </c>
      <c r="M26" s="17"/>
      <c r="N26" s="18"/>
      <c r="O26" s="52"/>
      <c r="P26" s="18"/>
      <c r="Q26" s="52"/>
      <c r="R26" s="18"/>
      <c r="S26" s="18"/>
      <c r="T26" s="53"/>
      <c r="U26" s="47" t="s">
        <v>2285</v>
      </c>
      <c r="V26" s="47" t="s">
        <v>2286</v>
      </c>
      <c r="W26" s="47"/>
      <c r="X26" s="16"/>
      <c r="Y26" s="16"/>
      <c r="Z26" s="17"/>
      <c r="AA26" s="16"/>
      <c r="AB26" s="16"/>
      <c r="AC26" s="1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</row>
    <row r="27" spans="1:44" x14ac:dyDescent="0.25">
      <c r="A27" s="41"/>
      <c r="B27" s="18"/>
      <c r="C27" s="41"/>
      <c r="D27" s="18"/>
      <c r="E27" s="41"/>
      <c r="F27" s="18"/>
      <c r="G27" s="41" t="s">
        <v>2287</v>
      </c>
      <c r="H27" s="18" t="s">
        <v>2288</v>
      </c>
      <c r="I27" s="41" t="s">
        <v>2289</v>
      </c>
      <c r="J27" s="18" t="s">
        <v>2290</v>
      </c>
      <c r="K27" s="17" t="s">
        <v>310</v>
      </c>
      <c r="L27" s="18" t="s">
        <v>2291</v>
      </c>
      <c r="M27" s="17"/>
      <c r="N27" s="18"/>
      <c r="O27" s="52"/>
      <c r="P27" s="18"/>
      <c r="Q27" s="52"/>
      <c r="R27" s="18"/>
      <c r="S27" s="18"/>
      <c r="T27" s="53"/>
      <c r="U27" s="47" t="s">
        <v>72</v>
      </c>
      <c r="V27" s="47" t="s">
        <v>2292</v>
      </c>
      <c r="W27" s="47"/>
      <c r="X27" s="16"/>
      <c r="Y27" s="16"/>
      <c r="Z27" s="17"/>
      <c r="AA27" s="16"/>
      <c r="AB27" s="16"/>
      <c r="AC27" s="16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</row>
    <row r="28" spans="1:44" x14ac:dyDescent="0.25">
      <c r="A28" s="41"/>
      <c r="B28" s="18"/>
      <c r="C28" s="41"/>
      <c r="D28" s="18"/>
      <c r="E28" s="41"/>
      <c r="F28" s="18"/>
      <c r="G28" s="41" t="s">
        <v>2293</v>
      </c>
      <c r="H28" s="18" t="s">
        <v>2294</v>
      </c>
      <c r="I28" s="41" t="s">
        <v>2295</v>
      </c>
      <c r="J28" s="18" t="s">
        <v>2296</v>
      </c>
      <c r="K28" s="17" t="s">
        <v>311</v>
      </c>
      <c r="L28" s="18" t="s">
        <v>2297</v>
      </c>
      <c r="M28" s="17"/>
      <c r="N28" s="18"/>
      <c r="O28" s="52"/>
      <c r="P28" s="18"/>
      <c r="Q28" s="52"/>
      <c r="R28" s="18"/>
      <c r="S28" s="18"/>
      <c r="T28" s="53"/>
      <c r="U28" s="47" t="s">
        <v>2298</v>
      </c>
      <c r="V28" s="47" t="s">
        <v>2299</v>
      </c>
      <c r="W28" s="47"/>
      <c r="X28" s="16"/>
      <c r="Y28" s="16"/>
      <c r="Z28" s="17"/>
      <c r="AA28" s="16"/>
      <c r="AB28" s="16"/>
      <c r="AC28" s="16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</row>
    <row r="29" spans="1:44" x14ac:dyDescent="0.25">
      <c r="A29" s="41"/>
      <c r="B29" s="18"/>
      <c r="C29" s="41"/>
      <c r="D29" s="18"/>
      <c r="E29" s="41"/>
      <c r="F29" s="18"/>
      <c r="G29" s="41" t="s">
        <v>2300</v>
      </c>
      <c r="H29" s="18" t="s">
        <v>2301</v>
      </c>
      <c r="I29" s="41" t="s">
        <v>2302</v>
      </c>
      <c r="J29" s="18" t="s">
        <v>2303</v>
      </c>
      <c r="K29" s="17" t="s">
        <v>312</v>
      </c>
      <c r="L29" s="18" t="s">
        <v>2304</v>
      </c>
      <c r="M29" s="17"/>
      <c r="N29" s="18"/>
      <c r="O29" s="52"/>
      <c r="P29" s="18"/>
      <c r="Q29" s="52"/>
      <c r="R29" s="18"/>
      <c r="S29" s="18"/>
      <c r="T29" s="53"/>
      <c r="U29" s="47" t="s">
        <v>2305</v>
      </c>
      <c r="V29" s="47" t="s">
        <v>2306</v>
      </c>
      <c r="W29" s="47"/>
      <c r="X29" s="16"/>
      <c r="Y29" s="16"/>
      <c r="Z29" s="17"/>
      <c r="AA29" s="16"/>
      <c r="AB29" s="16"/>
      <c r="AC29" s="16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</row>
    <row r="30" spans="1:44" x14ac:dyDescent="0.25">
      <c r="A30" s="41"/>
      <c r="B30" s="18"/>
      <c r="C30" s="41"/>
      <c r="D30" s="18"/>
      <c r="E30" s="41"/>
      <c r="F30" s="18"/>
      <c r="G30" s="41" t="s">
        <v>2307</v>
      </c>
      <c r="H30" s="18" t="s">
        <v>2027</v>
      </c>
      <c r="I30" s="41" t="s">
        <v>2308</v>
      </c>
      <c r="J30" s="18" t="s">
        <v>1838</v>
      </c>
      <c r="K30" s="17" t="s">
        <v>313</v>
      </c>
      <c r="L30" s="18" t="s">
        <v>2309</v>
      </c>
      <c r="M30" s="17"/>
      <c r="N30" s="18"/>
      <c r="O30" s="52"/>
      <c r="P30" s="18"/>
      <c r="Q30" s="52"/>
      <c r="R30" s="18"/>
      <c r="S30" s="18"/>
      <c r="T30" s="53"/>
      <c r="U30" s="47" t="s">
        <v>2310</v>
      </c>
      <c r="V30" s="47" t="s">
        <v>2311</v>
      </c>
      <c r="W30" s="47"/>
      <c r="X30" s="16"/>
      <c r="Y30" s="16"/>
      <c r="Z30" s="17"/>
      <c r="AA30" s="16"/>
      <c r="AB30" s="16"/>
      <c r="AC30" s="16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</row>
    <row r="31" spans="1:44" x14ac:dyDescent="0.25">
      <c r="A31" s="41"/>
      <c r="B31" s="18"/>
      <c r="C31" s="41"/>
      <c r="D31" s="18"/>
      <c r="E31" s="41"/>
      <c r="F31" s="18"/>
      <c r="G31" s="41" t="s">
        <v>2312</v>
      </c>
      <c r="H31" s="18" t="s">
        <v>2313</v>
      </c>
      <c r="I31" s="41" t="s">
        <v>2314</v>
      </c>
      <c r="J31" s="18" t="s">
        <v>2315</v>
      </c>
      <c r="K31" s="17" t="s">
        <v>314</v>
      </c>
      <c r="L31" s="18" t="s">
        <v>2316</v>
      </c>
      <c r="M31" s="17"/>
      <c r="N31" s="18"/>
      <c r="O31" s="52"/>
      <c r="P31" s="18"/>
      <c r="Q31" s="52"/>
      <c r="R31" s="18"/>
      <c r="S31" s="18"/>
      <c r="T31" s="53"/>
      <c r="U31" s="47" t="s">
        <v>2317</v>
      </c>
      <c r="V31" s="47" t="s">
        <v>2318</v>
      </c>
      <c r="W31" s="47"/>
      <c r="X31" s="16"/>
      <c r="Y31" s="16"/>
      <c r="Z31" s="17"/>
      <c r="AA31" s="16"/>
      <c r="AB31" s="16"/>
      <c r="AC31" s="16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</row>
    <row r="32" spans="1:44" x14ac:dyDescent="0.25">
      <c r="A32" s="41"/>
      <c r="B32" s="18"/>
      <c r="C32" s="41"/>
      <c r="D32" s="18"/>
      <c r="E32" s="41"/>
      <c r="F32" s="18"/>
      <c r="G32" s="41" t="s">
        <v>2319</v>
      </c>
      <c r="H32" s="18" t="s">
        <v>2320</v>
      </c>
      <c r="I32" s="41" t="s">
        <v>2321</v>
      </c>
      <c r="J32" s="18" t="s">
        <v>2322</v>
      </c>
      <c r="K32" s="17" t="s">
        <v>315</v>
      </c>
      <c r="L32" s="18" t="s">
        <v>2323</v>
      </c>
      <c r="M32" s="17"/>
      <c r="N32" s="18"/>
      <c r="O32" s="52"/>
      <c r="P32" s="18"/>
      <c r="Q32" s="52"/>
      <c r="R32" s="18"/>
      <c r="S32" s="18"/>
      <c r="T32" s="53"/>
      <c r="U32" s="47"/>
      <c r="V32" s="47" t="s">
        <v>2324</v>
      </c>
      <c r="W32" s="47"/>
      <c r="X32" s="16"/>
      <c r="Y32" s="16"/>
      <c r="Z32" s="17"/>
      <c r="AA32" s="16"/>
      <c r="AB32" s="16"/>
      <c r="AC32" s="16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</row>
    <row r="33" spans="1:44" x14ac:dyDescent="0.25">
      <c r="A33" s="41"/>
      <c r="B33" s="18"/>
      <c r="C33" s="41"/>
      <c r="D33" s="18"/>
      <c r="E33" s="41"/>
      <c r="F33" s="18"/>
      <c r="G33" s="41" t="s">
        <v>2325</v>
      </c>
      <c r="H33" s="18" t="s">
        <v>2326</v>
      </c>
      <c r="I33" s="41" t="s">
        <v>2327</v>
      </c>
      <c r="J33" s="18" t="s">
        <v>2328</v>
      </c>
      <c r="K33" s="17" t="s">
        <v>316</v>
      </c>
      <c r="L33" s="18" t="s">
        <v>2329</v>
      </c>
      <c r="M33" s="17"/>
      <c r="N33" s="18"/>
      <c r="O33" s="52"/>
      <c r="P33" s="18"/>
      <c r="Q33" s="52"/>
      <c r="R33" s="18"/>
      <c r="S33" s="18"/>
      <c r="T33" s="53"/>
      <c r="U33" s="47"/>
      <c r="V33" s="47" t="s">
        <v>2330</v>
      </c>
      <c r="W33" s="47"/>
      <c r="X33" s="16"/>
      <c r="Y33" s="16"/>
      <c r="Z33" s="17"/>
      <c r="AA33" s="16"/>
      <c r="AB33" s="16"/>
      <c r="AC33" s="16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</row>
    <row r="34" spans="1:44" x14ac:dyDescent="0.25">
      <c r="A34" s="41"/>
      <c r="B34" s="18"/>
      <c r="C34" s="41"/>
      <c r="D34" s="18"/>
      <c r="E34" s="41"/>
      <c r="F34" s="18"/>
      <c r="G34" s="41" t="s">
        <v>2331</v>
      </c>
      <c r="H34" s="18" t="s">
        <v>2332</v>
      </c>
      <c r="I34" s="41" t="s">
        <v>2333</v>
      </c>
      <c r="J34" s="18" t="s">
        <v>2334</v>
      </c>
      <c r="K34" s="17" t="s">
        <v>317</v>
      </c>
      <c r="L34" s="18" t="s">
        <v>2335</v>
      </c>
      <c r="M34" s="17"/>
      <c r="N34" s="18"/>
      <c r="O34" s="52"/>
      <c r="P34" s="18"/>
      <c r="Q34" s="52"/>
      <c r="R34" s="18"/>
      <c r="S34" s="18"/>
      <c r="T34" s="53"/>
      <c r="U34" s="47"/>
      <c r="V34" s="47" t="s">
        <v>2336</v>
      </c>
      <c r="W34" s="47"/>
      <c r="X34" s="16"/>
      <c r="Y34" s="16"/>
      <c r="Z34" s="17"/>
      <c r="AA34" s="16"/>
      <c r="AB34" s="16"/>
      <c r="AC34" s="16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</row>
    <row r="35" spans="1:44" x14ac:dyDescent="0.25">
      <c r="A35" s="41"/>
      <c r="B35" s="18"/>
      <c r="C35" s="41"/>
      <c r="D35" s="18"/>
      <c r="E35" s="41"/>
      <c r="F35" s="18"/>
      <c r="G35" s="41" t="s">
        <v>2337</v>
      </c>
      <c r="H35" s="18" t="s">
        <v>2338</v>
      </c>
      <c r="I35" s="41" t="s">
        <v>2339</v>
      </c>
      <c r="J35" s="18" t="s">
        <v>2340</v>
      </c>
      <c r="K35" s="17"/>
      <c r="L35" s="18"/>
      <c r="M35" s="17"/>
      <c r="N35" s="18"/>
      <c r="O35" s="52"/>
      <c r="P35" s="18"/>
      <c r="Q35" s="52"/>
      <c r="R35" s="18"/>
      <c r="S35" s="18"/>
      <c r="T35" s="53"/>
      <c r="U35" s="47"/>
      <c r="V35" s="47" t="s">
        <v>2341</v>
      </c>
      <c r="W35" s="47"/>
      <c r="X35" s="16"/>
      <c r="Y35" s="16"/>
      <c r="Z35" s="17"/>
      <c r="AA35" s="16"/>
      <c r="AB35" s="16"/>
      <c r="AC35" s="16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</row>
    <row r="36" spans="1:44" x14ac:dyDescent="0.25">
      <c r="A36" s="41"/>
      <c r="B36" s="18"/>
      <c r="C36" s="41"/>
      <c r="D36" s="18"/>
      <c r="E36" s="41"/>
      <c r="F36" s="18"/>
      <c r="G36" s="41" t="s">
        <v>2342</v>
      </c>
      <c r="H36" s="18" t="s">
        <v>2343</v>
      </c>
      <c r="I36" s="41" t="s">
        <v>701</v>
      </c>
      <c r="J36" s="18" t="s">
        <v>2344</v>
      </c>
      <c r="K36" s="17"/>
      <c r="L36" s="18"/>
      <c r="M36" s="17"/>
      <c r="N36" s="18"/>
      <c r="O36" s="52"/>
      <c r="P36" s="18"/>
      <c r="Q36" s="52"/>
      <c r="R36" s="18"/>
      <c r="S36" s="18"/>
      <c r="T36" s="53"/>
      <c r="U36" s="47"/>
      <c r="V36" s="47" t="s">
        <v>2345</v>
      </c>
      <c r="W36" s="47"/>
      <c r="X36" s="16"/>
      <c r="Y36" s="16"/>
      <c r="Z36" s="17"/>
      <c r="AA36" s="16"/>
      <c r="AB36" s="16"/>
      <c r="AC36" s="1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</row>
    <row r="37" spans="1:44" x14ac:dyDescent="0.25">
      <c r="A37" s="41"/>
      <c r="B37" s="18"/>
      <c r="C37" s="41"/>
      <c r="D37" s="18"/>
      <c r="E37" s="41"/>
      <c r="F37" s="18"/>
      <c r="G37" s="41" t="s">
        <v>2346</v>
      </c>
      <c r="H37" s="18" t="s">
        <v>2347</v>
      </c>
      <c r="I37" s="41" t="s">
        <v>2348</v>
      </c>
      <c r="J37" s="18" t="s">
        <v>2349</v>
      </c>
      <c r="K37" s="17"/>
      <c r="L37" s="18"/>
      <c r="M37" s="17"/>
      <c r="N37" s="18"/>
      <c r="O37" s="52"/>
      <c r="P37" s="18"/>
      <c r="Q37" s="52"/>
      <c r="R37" s="18"/>
      <c r="S37" s="18"/>
      <c r="T37" s="53"/>
      <c r="U37" s="47"/>
      <c r="V37" s="47"/>
      <c r="W37" s="47"/>
      <c r="X37" s="16"/>
      <c r="Y37" s="16"/>
      <c r="Z37" s="17"/>
      <c r="AA37" s="16"/>
      <c r="AB37" s="16"/>
      <c r="AC37" s="16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</row>
    <row r="38" spans="1:44" x14ac:dyDescent="0.25">
      <c r="A38" s="41"/>
      <c r="B38" s="18"/>
      <c r="C38" s="41"/>
      <c r="D38" s="18"/>
      <c r="E38" s="41"/>
      <c r="F38" s="18"/>
      <c r="G38" s="41" t="s">
        <v>2350</v>
      </c>
      <c r="H38" s="18" t="s">
        <v>2351</v>
      </c>
      <c r="I38" s="41" t="s">
        <v>2352</v>
      </c>
      <c r="J38" s="18" t="s">
        <v>2353</v>
      </c>
      <c r="K38" s="17"/>
      <c r="L38" s="18"/>
      <c r="M38" s="17"/>
      <c r="N38" s="18"/>
      <c r="O38" s="52"/>
      <c r="P38" s="18"/>
      <c r="Q38" s="52"/>
      <c r="R38" s="18"/>
      <c r="S38" s="18"/>
      <c r="T38" s="53"/>
      <c r="U38" s="47"/>
      <c r="V38" s="47"/>
      <c r="W38" s="47"/>
      <c r="X38" s="16"/>
      <c r="Y38" s="16"/>
      <c r="Z38" s="17"/>
      <c r="AA38" s="16"/>
      <c r="AB38" s="16"/>
      <c r="AC38" s="16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</row>
    <row r="39" spans="1:44" x14ac:dyDescent="0.25">
      <c r="A39" s="41"/>
      <c r="B39" s="18"/>
      <c r="C39" s="41"/>
      <c r="D39" s="18"/>
      <c r="E39" s="41"/>
      <c r="F39" s="18"/>
      <c r="G39" s="41" t="s">
        <v>2354</v>
      </c>
      <c r="H39" s="18" t="s">
        <v>2355</v>
      </c>
      <c r="I39" s="41" t="s">
        <v>2356</v>
      </c>
      <c r="J39" s="18" t="s">
        <v>2357</v>
      </c>
      <c r="K39" s="17"/>
      <c r="L39" s="18"/>
      <c r="M39" s="17"/>
      <c r="N39" s="18"/>
      <c r="O39" s="52"/>
      <c r="P39" s="18"/>
      <c r="Q39" s="52"/>
      <c r="R39" s="18"/>
      <c r="S39" s="18"/>
      <c r="T39" s="53"/>
      <c r="U39" s="47"/>
      <c r="V39" s="47"/>
      <c r="W39" s="47"/>
      <c r="X39" s="16"/>
      <c r="Y39" s="16"/>
      <c r="Z39" s="17"/>
      <c r="AA39" s="16"/>
      <c r="AB39" s="16"/>
      <c r="AC39" s="16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</row>
    <row r="40" spans="1:44" x14ac:dyDescent="0.25">
      <c r="A40" s="41"/>
      <c r="B40" s="18"/>
      <c r="C40" s="41"/>
      <c r="D40" s="18"/>
      <c r="E40" s="41"/>
      <c r="F40" s="18"/>
      <c r="G40" s="41" t="s">
        <v>2358</v>
      </c>
      <c r="H40" s="18" t="s">
        <v>2359</v>
      </c>
      <c r="I40" s="41" t="s">
        <v>2360</v>
      </c>
      <c r="J40" s="18" t="s">
        <v>2361</v>
      </c>
      <c r="K40" s="17"/>
      <c r="L40" s="18"/>
      <c r="M40" s="17"/>
      <c r="N40" s="18"/>
      <c r="O40" s="52"/>
      <c r="P40" s="18"/>
      <c r="Q40" s="52"/>
      <c r="R40" s="18"/>
      <c r="S40" s="18"/>
      <c r="T40" s="53"/>
      <c r="U40" s="47"/>
      <c r="V40" s="47"/>
      <c r="W40" s="47"/>
      <c r="X40" s="16"/>
      <c r="Y40" s="16"/>
      <c r="Z40" s="17"/>
      <c r="AA40" s="16"/>
      <c r="AB40" s="16"/>
      <c r="AC40" s="16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</row>
    <row r="41" spans="1:44" x14ac:dyDescent="0.25">
      <c r="A41" s="41"/>
      <c r="B41" s="18"/>
      <c r="C41" s="41"/>
      <c r="D41" s="18"/>
      <c r="E41" s="41"/>
      <c r="F41" s="18"/>
      <c r="G41" s="41" t="s">
        <v>2362</v>
      </c>
      <c r="H41" s="18" t="s">
        <v>2363</v>
      </c>
      <c r="I41" s="41" t="s">
        <v>2364</v>
      </c>
      <c r="J41" s="18" t="s">
        <v>2365</v>
      </c>
      <c r="K41" s="17"/>
      <c r="L41" s="18"/>
      <c r="M41" s="17"/>
      <c r="N41" s="18"/>
      <c r="O41" s="52"/>
      <c r="P41" s="18"/>
      <c r="Q41" s="52"/>
      <c r="R41" s="18"/>
      <c r="S41" s="18"/>
      <c r="T41" s="53"/>
      <c r="U41" s="47"/>
      <c r="V41" s="47"/>
      <c r="W41" s="47"/>
      <c r="X41" s="16"/>
      <c r="Y41" s="16"/>
      <c r="Z41" s="17"/>
      <c r="AA41" s="16"/>
      <c r="AB41" s="16"/>
      <c r="AC41" s="16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</row>
    <row r="42" spans="1:44" x14ac:dyDescent="0.25">
      <c r="A42" s="41"/>
      <c r="B42" s="18"/>
      <c r="C42" s="41"/>
      <c r="D42" s="18"/>
      <c r="E42" s="41"/>
      <c r="F42" s="18"/>
      <c r="G42" s="41" t="s">
        <v>2366</v>
      </c>
      <c r="H42" s="18" t="s">
        <v>2367</v>
      </c>
      <c r="I42" s="41" t="s">
        <v>2368</v>
      </c>
      <c r="J42" s="18" t="s">
        <v>2369</v>
      </c>
      <c r="K42" s="17"/>
      <c r="L42" s="18"/>
      <c r="M42" s="17"/>
      <c r="N42" s="18"/>
      <c r="O42" s="52"/>
      <c r="P42" s="18"/>
      <c r="Q42" s="52"/>
      <c r="R42" s="18"/>
      <c r="S42" s="18"/>
      <c r="T42" s="53"/>
      <c r="U42" s="47"/>
      <c r="V42" s="47"/>
      <c r="W42" s="47"/>
      <c r="X42" s="16"/>
      <c r="Y42" s="16"/>
      <c r="Z42" s="17"/>
      <c r="AA42" s="16"/>
      <c r="AB42" s="16"/>
      <c r="AC42" s="16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</row>
    <row r="43" spans="1:44" x14ac:dyDescent="0.25">
      <c r="A43" s="41"/>
      <c r="B43" s="18"/>
      <c r="C43" s="41"/>
      <c r="D43" s="18"/>
      <c r="E43" s="41"/>
      <c r="F43" s="18"/>
      <c r="G43" s="41" t="s">
        <v>2370</v>
      </c>
      <c r="H43" s="18" t="s">
        <v>2371</v>
      </c>
      <c r="I43" s="41" t="s">
        <v>2372</v>
      </c>
      <c r="J43" s="18" t="s">
        <v>2373</v>
      </c>
      <c r="K43" s="17"/>
      <c r="L43" s="18"/>
      <c r="M43" s="17"/>
      <c r="N43" s="18"/>
      <c r="O43" s="52"/>
      <c r="P43" s="18"/>
      <c r="Q43" s="52"/>
      <c r="R43" s="18"/>
      <c r="S43" s="18"/>
      <c r="T43" s="53"/>
      <c r="U43" s="47"/>
      <c r="V43" s="47"/>
      <c r="W43" s="47"/>
      <c r="X43" s="16"/>
      <c r="Y43" s="16"/>
      <c r="Z43" s="17"/>
      <c r="AA43" s="16"/>
      <c r="AB43" s="16"/>
      <c r="AC43" s="16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</row>
    <row r="44" spans="1:44" x14ac:dyDescent="0.25">
      <c r="A44" s="41"/>
      <c r="B44" s="18"/>
      <c r="C44" s="41"/>
      <c r="D44" s="18"/>
      <c r="E44" s="41"/>
      <c r="F44" s="18"/>
      <c r="G44" s="41" t="s">
        <v>2374</v>
      </c>
      <c r="H44" s="18" t="s">
        <v>2375</v>
      </c>
      <c r="I44" s="41" t="s">
        <v>2376</v>
      </c>
      <c r="J44" s="18" t="s">
        <v>2377</v>
      </c>
      <c r="K44" s="17"/>
      <c r="L44" s="18"/>
      <c r="M44" s="17"/>
      <c r="N44" s="18"/>
      <c r="O44" s="52"/>
      <c r="P44" s="18"/>
      <c r="Q44" s="52"/>
      <c r="R44" s="18"/>
      <c r="S44" s="18"/>
      <c r="T44" s="53"/>
      <c r="U44" s="47"/>
      <c r="V44" s="47"/>
      <c r="W44" s="47"/>
      <c r="X44" s="16"/>
      <c r="Y44" s="16"/>
      <c r="Z44" s="17"/>
      <c r="AA44" s="16"/>
      <c r="AB44" s="16"/>
      <c r="AC44" s="16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</row>
    <row r="45" spans="1:44" x14ac:dyDescent="0.25">
      <c r="A45" s="41"/>
      <c r="B45" s="18"/>
      <c r="C45" s="41"/>
      <c r="D45" s="18"/>
      <c r="E45" s="41"/>
      <c r="F45" s="18"/>
      <c r="G45" s="41" t="s">
        <v>2378</v>
      </c>
      <c r="H45" s="18" t="s">
        <v>2379</v>
      </c>
      <c r="I45" s="41" t="s">
        <v>2380</v>
      </c>
      <c r="J45" s="18" t="s">
        <v>8</v>
      </c>
      <c r="K45" s="17"/>
      <c r="L45" s="18"/>
      <c r="M45" s="17"/>
      <c r="N45" s="18"/>
      <c r="O45" s="52"/>
      <c r="P45" s="18"/>
      <c r="Q45" s="52"/>
      <c r="R45" s="18"/>
      <c r="S45" s="18"/>
      <c r="T45" s="53"/>
      <c r="U45" s="47"/>
      <c r="V45" s="47"/>
      <c r="W45" s="47"/>
      <c r="X45" s="16"/>
      <c r="Y45" s="16"/>
      <c r="Z45" s="17"/>
      <c r="AA45" s="16"/>
      <c r="AB45" s="16"/>
      <c r="AC45" s="16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</row>
    <row r="46" spans="1:44" x14ac:dyDescent="0.25">
      <c r="A46" s="41"/>
      <c r="B46" s="18"/>
      <c r="C46" s="41"/>
      <c r="D46" s="18"/>
      <c r="E46" s="41"/>
      <c r="F46" s="18"/>
      <c r="G46" s="41" t="s">
        <v>2381</v>
      </c>
      <c r="H46" s="18" t="s">
        <v>2382</v>
      </c>
      <c r="I46" s="41" t="s">
        <v>2342</v>
      </c>
      <c r="J46" s="18" t="s">
        <v>2383</v>
      </c>
      <c r="K46" s="17"/>
      <c r="L46" s="18"/>
      <c r="M46" s="17"/>
      <c r="N46" s="18"/>
      <c r="O46" s="52"/>
      <c r="P46" s="18"/>
      <c r="Q46" s="52"/>
      <c r="R46" s="18"/>
      <c r="S46" s="18"/>
      <c r="T46" s="53"/>
      <c r="U46" s="47"/>
      <c r="V46" s="47"/>
      <c r="W46" s="47"/>
      <c r="X46" s="16"/>
      <c r="Y46" s="16"/>
      <c r="Z46" s="17"/>
      <c r="AA46" s="16"/>
      <c r="AB46" s="16"/>
      <c r="AC46" s="1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</row>
    <row r="47" spans="1:44" x14ac:dyDescent="0.25">
      <c r="A47" s="41"/>
      <c r="B47" s="18"/>
      <c r="C47" s="41"/>
      <c r="D47" s="18"/>
      <c r="E47" s="41"/>
      <c r="F47" s="18"/>
      <c r="G47" s="41" t="s">
        <v>2384</v>
      </c>
      <c r="H47" s="18" t="s">
        <v>2385</v>
      </c>
      <c r="I47" s="41" t="s">
        <v>2386</v>
      </c>
      <c r="J47" s="18" t="s">
        <v>2387</v>
      </c>
      <c r="K47" s="17"/>
      <c r="L47" s="18"/>
      <c r="M47" s="17"/>
      <c r="N47" s="18"/>
      <c r="O47" s="52"/>
      <c r="P47" s="18"/>
      <c r="Q47" s="52"/>
      <c r="R47" s="18"/>
      <c r="S47" s="18"/>
      <c r="T47" s="53"/>
      <c r="U47" s="47"/>
      <c r="V47" s="47"/>
      <c r="W47" s="47"/>
      <c r="X47" s="16"/>
      <c r="Y47" s="16"/>
      <c r="Z47" s="17"/>
      <c r="AA47" s="16"/>
      <c r="AB47" s="16"/>
      <c r="AC47" s="16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</row>
    <row r="48" spans="1:44" x14ac:dyDescent="0.25">
      <c r="A48" s="41"/>
      <c r="B48" s="18"/>
      <c r="C48" s="41"/>
      <c r="D48" s="18"/>
      <c r="E48" s="41"/>
      <c r="F48" s="18"/>
      <c r="G48" s="41" t="s">
        <v>2388</v>
      </c>
      <c r="H48" s="18" t="s">
        <v>2389</v>
      </c>
      <c r="I48" s="41" t="s">
        <v>2390</v>
      </c>
      <c r="J48" s="18" t="s">
        <v>2099</v>
      </c>
      <c r="K48" s="17"/>
      <c r="L48" s="18"/>
      <c r="M48" s="17"/>
      <c r="N48" s="18"/>
      <c r="O48" s="52"/>
      <c r="P48" s="18"/>
      <c r="Q48" s="52"/>
      <c r="R48" s="18"/>
      <c r="S48" s="18"/>
      <c r="T48" s="53"/>
      <c r="U48" s="47"/>
      <c r="V48" s="47"/>
      <c r="W48" s="47"/>
      <c r="X48" s="16"/>
      <c r="Y48" s="16"/>
      <c r="Z48" s="17"/>
      <c r="AA48" s="16"/>
      <c r="AB48" s="16"/>
      <c r="AC48" s="16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</row>
    <row r="49" spans="1:44" x14ac:dyDescent="0.25">
      <c r="A49" s="41"/>
      <c r="B49" s="18"/>
      <c r="C49" s="41"/>
      <c r="D49" s="18"/>
      <c r="E49" s="41"/>
      <c r="F49" s="18"/>
      <c r="G49" s="41" t="s">
        <v>2391</v>
      </c>
      <c r="H49" s="18" t="s">
        <v>2392</v>
      </c>
      <c r="I49" s="41" t="s">
        <v>2393</v>
      </c>
      <c r="J49" s="18" t="s">
        <v>2394</v>
      </c>
      <c r="K49" s="17"/>
      <c r="L49" s="18"/>
      <c r="M49" s="17"/>
      <c r="N49" s="18"/>
      <c r="O49" s="52"/>
      <c r="P49" s="18"/>
      <c r="Q49" s="52"/>
      <c r="R49" s="18"/>
      <c r="S49" s="18"/>
      <c r="T49" s="53"/>
      <c r="U49" s="47"/>
      <c r="V49" s="47"/>
      <c r="W49" s="47"/>
      <c r="X49" s="16"/>
      <c r="Y49" s="16"/>
      <c r="Z49" s="17"/>
      <c r="AA49" s="16"/>
      <c r="AB49" s="16"/>
      <c r="AC49" s="16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</row>
    <row r="50" spans="1:44" x14ac:dyDescent="0.25">
      <c r="A50" s="41"/>
      <c r="B50" s="18"/>
      <c r="C50" s="41"/>
      <c r="D50" s="18"/>
      <c r="E50" s="41"/>
      <c r="F50" s="18"/>
      <c r="G50" s="41" t="s">
        <v>287</v>
      </c>
      <c r="H50" s="18" t="s">
        <v>2061</v>
      </c>
      <c r="I50" s="41" t="s">
        <v>2395</v>
      </c>
      <c r="J50" s="18" t="s">
        <v>2396</v>
      </c>
      <c r="K50" s="17"/>
      <c r="L50" s="18"/>
      <c r="M50" s="17"/>
      <c r="N50" s="18"/>
      <c r="O50" s="52"/>
      <c r="P50" s="18"/>
      <c r="Q50" s="52"/>
      <c r="R50" s="18"/>
      <c r="S50" s="18"/>
      <c r="T50" s="53"/>
      <c r="U50" s="47"/>
      <c r="V50" s="47"/>
      <c r="W50" s="47"/>
      <c r="X50" s="16"/>
      <c r="Y50" s="16"/>
      <c r="Z50" s="17"/>
      <c r="AA50" s="16"/>
      <c r="AB50" s="16"/>
      <c r="AC50" s="16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</row>
    <row r="51" spans="1:44" x14ac:dyDescent="0.25">
      <c r="A51" s="41"/>
      <c r="B51" s="18"/>
      <c r="C51" s="41"/>
      <c r="D51" s="18"/>
      <c r="E51" s="41"/>
      <c r="F51" s="18"/>
      <c r="G51" s="41" t="s">
        <v>2397</v>
      </c>
      <c r="H51" s="18" t="s">
        <v>2398</v>
      </c>
      <c r="I51" s="41" t="s">
        <v>2399</v>
      </c>
      <c r="J51" s="18" t="s">
        <v>2135</v>
      </c>
      <c r="K51" s="17"/>
      <c r="L51" s="18"/>
      <c r="M51" s="17"/>
      <c r="N51" s="18"/>
      <c r="O51" s="52"/>
      <c r="P51" s="18"/>
      <c r="Q51" s="52"/>
      <c r="R51" s="18"/>
      <c r="S51" s="18"/>
      <c r="T51" s="53"/>
      <c r="U51" s="47"/>
      <c r="V51" s="47"/>
      <c r="W51" s="47"/>
      <c r="X51" s="16"/>
      <c r="Y51" s="16"/>
      <c r="Z51" s="17"/>
      <c r="AA51" s="16"/>
      <c r="AB51" s="16"/>
      <c r="AC51" s="16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</row>
    <row r="52" spans="1:44" x14ac:dyDescent="0.25">
      <c r="A52" s="41"/>
      <c r="B52" s="18"/>
      <c r="C52" s="41"/>
      <c r="D52" s="18"/>
      <c r="E52" s="41"/>
      <c r="F52" s="18"/>
      <c r="G52" s="41" t="s">
        <v>2400</v>
      </c>
      <c r="H52" s="18" t="s">
        <v>2401</v>
      </c>
      <c r="I52" s="41" t="s">
        <v>2402</v>
      </c>
      <c r="J52" s="18" t="s">
        <v>2403</v>
      </c>
      <c r="K52" s="17"/>
      <c r="L52" s="18"/>
      <c r="M52" s="17"/>
      <c r="N52" s="18"/>
      <c r="O52" s="52"/>
      <c r="P52" s="18"/>
      <c r="Q52" s="52"/>
      <c r="R52" s="18"/>
      <c r="S52" s="18"/>
      <c r="T52" s="53"/>
      <c r="U52" s="47"/>
      <c r="V52" s="47"/>
      <c r="W52" s="47"/>
      <c r="X52" s="16"/>
      <c r="Y52" s="16"/>
      <c r="Z52" s="17"/>
      <c r="AA52" s="16"/>
      <c r="AB52" s="16"/>
      <c r="AC52" s="16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</row>
    <row r="53" spans="1:44" x14ac:dyDescent="0.25">
      <c r="A53" s="41"/>
      <c r="B53" s="18"/>
      <c r="C53" s="41"/>
      <c r="D53" s="18"/>
      <c r="E53" s="41"/>
      <c r="F53" s="18"/>
      <c r="G53" s="41" t="s">
        <v>2404</v>
      </c>
      <c r="H53" s="18" t="s">
        <v>2405</v>
      </c>
      <c r="I53" s="41" t="s">
        <v>2406</v>
      </c>
      <c r="J53" s="18" t="s">
        <v>2407</v>
      </c>
      <c r="K53" s="17"/>
      <c r="L53" s="18"/>
      <c r="M53" s="17"/>
      <c r="N53" s="18"/>
      <c r="O53" s="52"/>
      <c r="P53" s="18"/>
      <c r="Q53" s="52"/>
      <c r="R53" s="18"/>
      <c r="S53" s="18"/>
      <c r="T53" s="53"/>
      <c r="U53" s="47"/>
      <c r="V53" s="47"/>
      <c r="W53" s="47"/>
      <c r="X53" s="16"/>
      <c r="Y53" s="16"/>
      <c r="Z53" s="17"/>
      <c r="AA53" s="16"/>
      <c r="AB53" s="16"/>
      <c r="AC53" s="16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</row>
    <row r="54" spans="1:44" x14ac:dyDescent="0.25">
      <c r="A54" s="41"/>
      <c r="B54" s="18"/>
      <c r="C54" s="41"/>
      <c r="D54" s="18"/>
      <c r="E54" s="41"/>
      <c r="F54" s="18"/>
      <c r="G54" s="41" t="s">
        <v>2408</v>
      </c>
      <c r="H54" s="18" t="s">
        <v>2409</v>
      </c>
      <c r="I54" s="41" t="s">
        <v>2410</v>
      </c>
      <c r="J54" s="18" t="s">
        <v>2411</v>
      </c>
      <c r="K54" s="17"/>
      <c r="L54" s="18"/>
      <c r="M54" s="17"/>
      <c r="N54" s="18"/>
      <c r="O54" s="52"/>
      <c r="P54" s="18"/>
      <c r="Q54" s="52"/>
      <c r="R54" s="18"/>
      <c r="S54" s="18"/>
      <c r="T54" s="53"/>
      <c r="U54" s="47"/>
      <c r="V54" s="47"/>
      <c r="W54" s="47"/>
      <c r="X54" s="16"/>
      <c r="Y54" s="16"/>
      <c r="Z54" s="17"/>
      <c r="AA54" s="16"/>
      <c r="AB54" s="16"/>
      <c r="AC54" s="16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</row>
    <row r="55" spans="1:44" x14ac:dyDescent="0.25">
      <c r="A55" s="41"/>
      <c r="B55" s="18"/>
      <c r="C55" s="41"/>
      <c r="D55" s="18"/>
      <c r="E55" s="41"/>
      <c r="F55" s="18"/>
      <c r="G55" s="41" t="s">
        <v>2412</v>
      </c>
      <c r="H55" s="18" t="s">
        <v>2413</v>
      </c>
      <c r="I55" s="41" t="s">
        <v>2414</v>
      </c>
      <c r="J55" s="18" t="s">
        <v>2414</v>
      </c>
      <c r="K55" s="17"/>
      <c r="L55" s="18"/>
      <c r="M55" s="17"/>
      <c r="N55" s="18"/>
      <c r="O55" s="52"/>
      <c r="P55" s="18"/>
      <c r="Q55" s="52"/>
      <c r="R55" s="18"/>
      <c r="S55" s="18"/>
      <c r="T55" s="53"/>
      <c r="U55" s="47"/>
      <c r="V55" s="47"/>
      <c r="W55" s="47"/>
      <c r="X55" s="16"/>
      <c r="Y55" s="16"/>
      <c r="Z55" s="17"/>
      <c r="AA55" s="16"/>
      <c r="AB55" s="16"/>
      <c r="AC55" s="16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</row>
    <row r="56" spans="1:44" x14ac:dyDescent="0.25">
      <c r="A56" s="41"/>
      <c r="B56" s="18"/>
      <c r="C56" s="41"/>
      <c r="D56" s="18"/>
      <c r="E56" s="41"/>
      <c r="F56" s="18"/>
      <c r="G56" s="41" t="s">
        <v>2415</v>
      </c>
      <c r="H56" s="18" t="s">
        <v>2416</v>
      </c>
      <c r="I56" s="41" t="s">
        <v>2378</v>
      </c>
      <c r="J56" s="18" t="s">
        <v>2417</v>
      </c>
      <c r="K56" s="17"/>
      <c r="L56" s="18"/>
      <c r="M56" s="17"/>
      <c r="N56" s="18"/>
      <c r="O56" s="52"/>
      <c r="P56" s="18"/>
      <c r="Q56" s="52"/>
      <c r="R56" s="18"/>
      <c r="S56" s="18"/>
      <c r="T56" s="53"/>
      <c r="U56" s="47"/>
      <c r="V56" s="47"/>
      <c r="W56" s="47"/>
      <c r="X56" s="16"/>
      <c r="Y56" s="16"/>
      <c r="Z56" s="17"/>
      <c r="AA56" s="16"/>
      <c r="AB56" s="16"/>
      <c r="AC56" s="1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</row>
    <row r="57" spans="1:44" x14ac:dyDescent="0.25">
      <c r="A57" s="41"/>
      <c r="B57" s="18"/>
      <c r="C57" s="41"/>
      <c r="D57" s="18"/>
      <c r="E57" s="41"/>
      <c r="F57" s="18"/>
      <c r="G57" s="41" t="s">
        <v>2418</v>
      </c>
      <c r="H57" s="18" t="s">
        <v>2419</v>
      </c>
      <c r="I57" s="41" t="s">
        <v>2374</v>
      </c>
      <c r="J57" s="18" t="s">
        <v>2420</v>
      </c>
      <c r="K57" s="17"/>
      <c r="L57" s="18"/>
      <c r="M57" s="17"/>
      <c r="N57" s="18"/>
      <c r="O57" s="52"/>
      <c r="P57" s="18"/>
      <c r="Q57" s="52"/>
      <c r="R57" s="18"/>
      <c r="S57" s="18"/>
      <c r="T57" s="53"/>
      <c r="U57" s="47"/>
      <c r="V57" s="47"/>
      <c r="W57" s="47"/>
      <c r="X57" s="16"/>
      <c r="Y57" s="16"/>
      <c r="Z57" s="17"/>
      <c r="AA57" s="16"/>
      <c r="AB57" s="16"/>
      <c r="AC57" s="16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</row>
    <row r="58" spans="1:44" x14ac:dyDescent="0.25">
      <c r="A58" s="41"/>
      <c r="B58" s="18"/>
      <c r="C58" s="41"/>
      <c r="D58" s="18"/>
      <c r="E58" s="41"/>
      <c r="F58" s="18"/>
      <c r="G58" s="41" t="s">
        <v>2421</v>
      </c>
      <c r="H58" s="18" t="s">
        <v>2422</v>
      </c>
      <c r="I58" s="41" t="s">
        <v>2423</v>
      </c>
      <c r="J58" s="18" t="s">
        <v>1058</v>
      </c>
      <c r="K58" s="17"/>
      <c r="L58" s="18"/>
      <c r="M58" s="17"/>
      <c r="N58" s="18"/>
      <c r="O58" s="52"/>
      <c r="P58" s="18"/>
      <c r="Q58" s="52"/>
      <c r="R58" s="18"/>
      <c r="S58" s="18"/>
      <c r="T58" s="53"/>
      <c r="U58" s="47"/>
      <c r="V58" s="47"/>
      <c r="W58" s="47"/>
      <c r="X58" s="16"/>
      <c r="Y58" s="16"/>
      <c r="Z58" s="17"/>
      <c r="AA58" s="16"/>
      <c r="AB58" s="16"/>
      <c r="AC58" s="16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</row>
    <row r="59" spans="1:44" x14ac:dyDescent="0.25">
      <c r="A59" s="41"/>
      <c r="B59" s="18"/>
      <c r="C59" s="41"/>
      <c r="D59" s="18"/>
      <c r="E59" s="41"/>
      <c r="F59" s="18"/>
      <c r="G59" s="41" t="s">
        <v>2424</v>
      </c>
      <c r="H59" s="18" t="s">
        <v>2425</v>
      </c>
      <c r="I59" s="41" t="s">
        <v>2426</v>
      </c>
      <c r="J59" s="18" t="s">
        <v>2427</v>
      </c>
      <c r="K59" s="17"/>
      <c r="L59" s="18"/>
      <c r="M59" s="17"/>
      <c r="N59" s="18"/>
      <c r="O59" s="52"/>
      <c r="P59" s="18"/>
      <c r="Q59" s="52"/>
      <c r="R59" s="18"/>
      <c r="S59" s="18"/>
      <c r="T59" s="53"/>
      <c r="U59" s="47"/>
      <c r="V59" s="47"/>
      <c r="W59" s="47"/>
      <c r="X59" s="16"/>
      <c r="Y59" s="16"/>
      <c r="Z59" s="17"/>
      <c r="AA59" s="16"/>
      <c r="AB59" s="16"/>
      <c r="AC59" s="16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</row>
    <row r="60" spans="1:44" x14ac:dyDescent="0.25">
      <c r="A60" s="41"/>
      <c r="B60" s="18"/>
      <c r="C60" s="41"/>
      <c r="D60" s="18"/>
      <c r="E60" s="41"/>
      <c r="F60" s="18"/>
      <c r="G60" s="41" t="s">
        <v>2428</v>
      </c>
      <c r="H60" s="18" t="s">
        <v>2429</v>
      </c>
      <c r="I60" s="41" t="s">
        <v>1056</v>
      </c>
      <c r="J60" s="18" t="s">
        <v>2430</v>
      </c>
      <c r="K60" s="17"/>
      <c r="L60" s="18"/>
      <c r="M60" s="17"/>
      <c r="N60" s="18"/>
      <c r="O60" s="52"/>
      <c r="P60" s="18"/>
      <c r="Q60" s="52"/>
      <c r="R60" s="18"/>
      <c r="S60" s="18"/>
      <c r="T60" s="53"/>
      <c r="U60" s="47"/>
      <c r="V60" s="47"/>
      <c r="W60" s="47"/>
      <c r="X60" s="16"/>
      <c r="Y60" s="16"/>
      <c r="Z60" s="17"/>
      <c r="AA60" s="16"/>
      <c r="AB60" s="16"/>
      <c r="AC60" s="16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</row>
    <row r="61" spans="1:44" x14ac:dyDescent="0.25">
      <c r="A61" s="41"/>
      <c r="B61" s="18"/>
      <c r="C61" s="41"/>
      <c r="D61" s="18"/>
      <c r="E61" s="41"/>
      <c r="F61" s="18"/>
      <c r="G61" s="41" t="s">
        <v>2431</v>
      </c>
      <c r="H61" s="18" t="s">
        <v>2432</v>
      </c>
      <c r="I61" s="41" t="s">
        <v>2433</v>
      </c>
      <c r="J61" s="18" t="s">
        <v>2434</v>
      </c>
      <c r="K61" s="17"/>
      <c r="L61" s="18"/>
      <c r="M61" s="17"/>
      <c r="N61" s="18"/>
      <c r="O61" s="52"/>
      <c r="P61" s="18"/>
      <c r="Q61" s="52"/>
      <c r="R61" s="18"/>
      <c r="S61" s="18"/>
      <c r="T61" s="53"/>
      <c r="U61" s="47"/>
      <c r="V61" s="47"/>
      <c r="W61" s="47"/>
      <c r="X61" s="16"/>
      <c r="Y61" s="16"/>
      <c r="Z61" s="17"/>
      <c r="AA61" s="16"/>
      <c r="AB61" s="16"/>
      <c r="AC61" s="16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</row>
    <row r="62" spans="1:44" x14ac:dyDescent="0.25">
      <c r="A62" s="41"/>
      <c r="B62" s="18"/>
      <c r="C62" s="41"/>
      <c r="D62" s="18"/>
      <c r="E62" s="41"/>
      <c r="F62" s="18"/>
      <c r="G62" s="41" t="s">
        <v>2435</v>
      </c>
      <c r="H62" s="18" t="s">
        <v>2436</v>
      </c>
      <c r="I62" s="41" t="s">
        <v>2437</v>
      </c>
      <c r="J62" s="18" t="s">
        <v>2438</v>
      </c>
      <c r="K62" s="17"/>
      <c r="L62" s="18"/>
      <c r="M62" s="17"/>
      <c r="N62" s="18"/>
      <c r="O62" s="52"/>
      <c r="P62" s="18"/>
      <c r="Q62" s="52"/>
      <c r="R62" s="18"/>
      <c r="S62" s="18"/>
      <c r="T62" s="53"/>
      <c r="U62" s="47"/>
      <c r="V62" s="47"/>
      <c r="W62" s="47"/>
      <c r="X62" s="16"/>
      <c r="Y62" s="16"/>
      <c r="Z62" s="17"/>
      <c r="AA62" s="16"/>
      <c r="AB62" s="16"/>
      <c r="AC62" s="16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</row>
    <row r="63" spans="1:44" x14ac:dyDescent="0.25">
      <c r="A63" s="41"/>
      <c r="B63" s="18"/>
      <c r="C63" s="41"/>
      <c r="D63" s="18"/>
      <c r="E63" s="41"/>
      <c r="F63" s="18"/>
      <c r="G63" s="41" t="s">
        <v>2439</v>
      </c>
      <c r="H63" s="18" t="s">
        <v>2440</v>
      </c>
      <c r="I63" s="41" t="s">
        <v>2441</v>
      </c>
      <c r="J63" s="18" t="s">
        <v>2442</v>
      </c>
      <c r="K63" s="17"/>
      <c r="L63" s="18"/>
      <c r="M63" s="17"/>
      <c r="N63" s="18"/>
      <c r="O63" s="52"/>
      <c r="P63" s="18"/>
      <c r="Q63" s="52"/>
      <c r="R63" s="18"/>
      <c r="S63" s="18"/>
      <c r="T63" s="53"/>
      <c r="U63" s="47"/>
      <c r="V63" s="47"/>
      <c r="W63" s="47"/>
      <c r="X63" s="16"/>
      <c r="Y63" s="16"/>
      <c r="Z63" s="17"/>
      <c r="AA63" s="16"/>
      <c r="AB63" s="16"/>
      <c r="AC63" s="16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</row>
    <row r="64" spans="1:44" x14ac:dyDescent="0.25">
      <c r="A64" s="41"/>
      <c r="B64" s="18"/>
      <c r="C64" s="41"/>
      <c r="D64" s="18"/>
      <c r="E64" s="41"/>
      <c r="F64" s="18"/>
      <c r="G64" s="41" t="s">
        <v>2443</v>
      </c>
      <c r="H64" s="18" t="s">
        <v>2188</v>
      </c>
      <c r="I64" s="41" t="s">
        <v>2444</v>
      </c>
      <c r="J64" s="18" t="s">
        <v>1273</v>
      </c>
      <c r="K64" s="17"/>
      <c r="L64" s="18"/>
      <c r="M64" s="17"/>
      <c r="N64" s="18"/>
      <c r="O64" s="52"/>
      <c r="P64" s="18"/>
      <c r="Q64" s="52"/>
      <c r="R64" s="18"/>
      <c r="S64" s="18"/>
      <c r="T64" s="53"/>
      <c r="U64" s="47"/>
      <c r="V64" s="47"/>
      <c r="W64" s="47"/>
      <c r="X64" s="16"/>
      <c r="Y64" s="16"/>
      <c r="Z64" s="17"/>
      <c r="AA64" s="16"/>
      <c r="AB64" s="16"/>
      <c r="AC64" s="16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</row>
    <row r="65" spans="1:44" x14ac:dyDescent="0.25">
      <c r="A65" s="41"/>
      <c r="B65" s="18"/>
      <c r="C65" s="41"/>
      <c r="D65" s="18"/>
      <c r="E65" s="41"/>
      <c r="F65" s="18"/>
      <c r="G65" s="41" t="s">
        <v>2445</v>
      </c>
      <c r="H65" s="18" t="s">
        <v>2446</v>
      </c>
      <c r="I65" s="41" t="s">
        <v>2447</v>
      </c>
      <c r="J65" s="18" t="s">
        <v>2448</v>
      </c>
      <c r="K65" s="17"/>
      <c r="L65" s="18"/>
      <c r="M65" s="17"/>
      <c r="N65" s="18"/>
      <c r="O65" s="52"/>
      <c r="P65" s="18"/>
      <c r="Q65" s="52"/>
      <c r="R65" s="18"/>
      <c r="S65" s="18"/>
      <c r="T65" s="53"/>
      <c r="U65" s="47"/>
      <c r="V65" s="47"/>
      <c r="W65" s="47"/>
      <c r="X65" s="16"/>
      <c r="Y65" s="16"/>
      <c r="Z65" s="17"/>
      <c r="AA65" s="16"/>
      <c r="AB65" s="16"/>
      <c r="AC65" s="16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</row>
    <row r="66" spans="1:44" x14ac:dyDescent="0.25">
      <c r="A66" s="41"/>
      <c r="B66" s="18"/>
      <c r="C66" s="41"/>
      <c r="D66" s="18"/>
      <c r="E66" s="41"/>
      <c r="F66" s="18"/>
      <c r="G66" s="41" t="s">
        <v>2449</v>
      </c>
      <c r="H66" s="18" t="s">
        <v>2450</v>
      </c>
      <c r="I66" s="41" t="s">
        <v>2451</v>
      </c>
      <c r="J66" s="18" t="s">
        <v>2452</v>
      </c>
      <c r="K66" s="17"/>
      <c r="L66" s="18"/>
      <c r="M66" s="17"/>
      <c r="N66" s="18"/>
      <c r="O66" s="52"/>
      <c r="P66" s="18"/>
      <c r="Q66" s="52"/>
      <c r="R66" s="18"/>
      <c r="S66" s="18"/>
      <c r="T66" s="53"/>
      <c r="U66" s="47"/>
      <c r="V66" s="47"/>
      <c r="W66" s="47"/>
      <c r="X66" s="16"/>
      <c r="Y66" s="16"/>
      <c r="Z66" s="17"/>
      <c r="AA66" s="16"/>
      <c r="AB66" s="16"/>
      <c r="AC66" s="1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</row>
    <row r="67" spans="1:44" x14ac:dyDescent="0.25">
      <c r="A67" s="41"/>
      <c r="B67" s="18"/>
      <c r="C67" s="41"/>
      <c r="D67" s="18"/>
      <c r="E67" s="41"/>
      <c r="F67" s="18"/>
      <c r="G67" s="41" t="s">
        <v>2453</v>
      </c>
      <c r="H67" s="18" t="s">
        <v>2454</v>
      </c>
      <c r="I67" s="41" t="s">
        <v>2455</v>
      </c>
      <c r="J67" s="18" t="s">
        <v>2456</v>
      </c>
      <c r="K67" s="17"/>
      <c r="L67" s="18"/>
      <c r="M67" s="17"/>
      <c r="N67" s="18"/>
      <c r="O67" s="52"/>
      <c r="P67" s="18"/>
      <c r="Q67" s="52"/>
      <c r="R67" s="18"/>
      <c r="S67" s="18"/>
      <c r="T67" s="53"/>
      <c r="U67" s="47"/>
      <c r="V67" s="47"/>
      <c r="W67" s="47"/>
      <c r="X67" s="16"/>
      <c r="Y67" s="16"/>
      <c r="Z67" s="17"/>
      <c r="AA67" s="16"/>
      <c r="AB67" s="16"/>
      <c r="AC67" s="16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</row>
    <row r="68" spans="1:44" x14ac:dyDescent="0.25">
      <c r="A68" s="41"/>
      <c r="B68" s="18"/>
      <c r="C68" s="41"/>
      <c r="D68" s="18"/>
      <c r="E68" s="41"/>
      <c r="F68" s="18"/>
      <c r="G68" s="41" t="s">
        <v>2457</v>
      </c>
      <c r="H68" s="18" t="s">
        <v>2458</v>
      </c>
      <c r="I68" s="41" t="s">
        <v>2459</v>
      </c>
      <c r="J68" s="18" t="s">
        <v>2460</v>
      </c>
      <c r="K68" s="17"/>
      <c r="L68" s="18"/>
      <c r="M68" s="17"/>
      <c r="N68" s="18"/>
      <c r="O68" s="52"/>
      <c r="P68" s="18"/>
      <c r="Q68" s="52"/>
      <c r="R68" s="18"/>
      <c r="S68" s="18"/>
      <c r="T68" s="53"/>
      <c r="U68" s="47"/>
      <c r="V68" s="47"/>
      <c r="W68" s="47"/>
      <c r="X68" s="16"/>
      <c r="Y68" s="16"/>
      <c r="Z68" s="17"/>
      <c r="AA68" s="16"/>
      <c r="AB68" s="16"/>
      <c r="AC68" s="16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</row>
    <row r="69" spans="1:44" x14ac:dyDescent="0.25">
      <c r="A69" s="41"/>
      <c r="B69" s="18"/>
      <c r="C69" s="41"/>
      <c r="D69" s="18"/>
      <c r="E69" s="41"/>
      <c r="F69" s="18"/>
      <c r="G69" s="41" t="s">
        <v>2461</v>
      </c>
      <c r="H69" s="18" t="s">
        <v>2462</v>
      </c>
      <c r="I69" s="41" t="s">
        <v>2463</v>
      </c>
      <c r="J69" s="18" t="s">
        <v>2464</v>
      </c>
      <c r="K69" s="17"/>
      <c r="L69" s="18"/>
      <c r="M69" s="17"/>
      <c r="N69" s="18"/>
      <c r="O69" s="52"/>
      <c r="P69" s="18"/>
      <c r="Q69" s="52"/>
      <c r="R69" s="18"/>
      <c r="S69" s="18"/>
      <c r="T69" s="53"/>
      <c r="U69" s="47"/>
      <c r="V69" s="47"/>
      <c r="W69" s="47"/>
      <c r="X69" s="16"/>
      <c r="Y69" s="16"/>
      <c r="Z69" s="17"/>
      <c r="AA69" s="16"/>
      <c r="AB69" s="16"/>
      <c r="AC69" s="16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</row>
    <row r="70" spans="1:44" x14ac:dyDescent="0.25">
      <c r="A70" s="41"/>
      <c r="B70" s="18"/>
      <c r="C70" s="41"/>
      <c r="D70" s="18"/>
      <c r="E70" s="41"/>
      <c r="F70" s="18"/>
      <c r="G70" s="41" t="s">
        <v>2465</v>
      </c>
      <c r="H70" s="18" t="s">
        <v>2466</v>
      </c>
      <c r="I70" s="41" t="s">
        <v>2467</v>
      </c>
      <c r="J70" s="18" t="s">
        <v>2468</v>
      </c>
      <c r="K70" s="17"/>
      <c r="L70" s="18"/>
      <c r="M70" s="17"/>
      <c r="N70" s="18"/>
      <c r="O70" s="52"/>
      <c r="P70" s="18"/>
      <c r="Q70" s="52"/>
      <c r="R70" s="18"/>
      <c r="S70" s="18"/>
      <c r="T70" s="53"/>
      <c r="U70" s="47"/>
      <c r="V70" s="47"/>
      <c r="W70" s="47"/>
      <c r="X70" s="16"/>
      <c r="Y70" s="16"/>
      <c r="Z70" s="17"/>
      <c r="AA70" s="16"/>
      <c r="AB70" s="16"/>
      <c r="AC70" s="16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</row>
    <row r="71" spans="1:44" x14ac:dyDescent="0.25">
      <c r="A71" s="41"/>
      <c r="B71" s="18"/>
      <c r="C71" s="41"/>
      <c r="D71" s="18"/>
      <c r="E71" s="41"/>
      <c r="F71" s="18"/>
      <c r="G71" s="41" t="s">
        <v>2469</v>
      </c>
      <c r="H71" s="18" t="s">
        <v>2470</v>
      </c>
      <c r="I71" s="41" t="s">
        <v>2471</v>
      </c>
      <c r="J71" s="18" t="s">
        <v>2472</v>
      </c>
      <c r="K71" s="17"/>
      <c r="L71" s="18"/>
      <c r="M71" s="17"/>
      <c r="N71" s="18"/>
      <c r="O71" s="52"/>
      <c r="P71" s="18"/>
      <c r="Q71" s="52"/>
      <c r="R71" s="18"/>
      <c r="S71" s="18"/>
      <c r="T71" s="53"/>
      <c r="U71" s="47"/>
      <c r="V71" s="47"/>
      <c r="W71" s="47"/>
      <c r="X71" s="16"/>
      <c r="Y71" s="16"/>
      <c r="Z71" s="17"/>
      <c r="AA71" s="16"/>
      <c r="AB71" s="16"/>
      <c r="AC71" s="16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</row>
    <row r="72" spans="1:44" x14ac:dyDescent="0.25">
      <c r="A72" s="41"/>
      <c r="B72" s="18"/>
      <c r="C72" s="41"/>
      <c r="D72" s="18"/>
      <c r="E72" s="41"/>
      <c r="F72" s="18"/>
      <c r="G72" s="41" t="s">
        <v>2473</v>
      </c>
      <c r="H72" s="18" t="s">
        <v>2474</v>
      </c>
      <c r="I72" s="41" t="s">
        <v>2475</v>
      </c>
      <c r="J72" s="18" t="s">
        <v>2476</v>
      </c>
      <c r="K72" s="17"/>
      <c r="L72" s="18"/>
      <c r="M72" s="17"/>
      <c r="N72" s="18"/>
      <c r="O72" s="52"/>
      <c r="P72" s="18"/>
      <c r="Q72" s="52"/>
      <c r="R72" s="18"/>
      <c r="S72" s="18"/>
      <c r="T72" s="53"/>
      <c r="U72" s="47"/>
      <c r="V72" s="47"/>
      <c r="W72" s="47"/>
      <c r="X72" s="16"/>
      <c r="Y72" s="16"/>
      <c r="Z72" s="17"/>
      <c r="AA72" s="16"/>
      <c r="AB72" s="16"/>
      <c r="AC72" s="16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</row>
    <row r="73" spans="1:44" x14ac:dyDescent="0.25">
      <c r="A73" s="41"/>
      <c r="B73" s="18"/>
      <c r="C73" s="41"/>
      <c r="D73" s="18"/>
      <c r="E73" s="41"/>
      <c r="F73" s="18"/>
      <c r="G73" s="41" t="s">
        <v>2477</v>
      </c>
      <c r="H73" s="18" t="s">
        <v>2478</v>
      </c>
      <c r="I73" s="41" t="s">
        <v>2479</v>
      </c>
      <c r="J73" s="18" t="s">
        <v>2480</v>
      </c>
      <c r="K73" s="17"/>
      <c r="L73" s="18"/>
      <c r="M73" s="17"/>
      <c r="N73" s="18"/>
      <c r="O73" s="52"/>
      <c r="P73" s="18"/>
      <c r="Q73" s="52"/>
      <c r="R73" s="18"/>
      <c r="S73" s="18"/>
      <c r="T73" s="53"/>
      <c r="U73" s="47"/>
      <c r="V73" s="47"/>
      <c r="W73" s="47"/>
      <c r="X73" s="16"/>
      <c r="Y73" s="16"/>
      <c r="Z73" s="17"/>
      <c r="AA73" s="16"/>
      <c r="AB73" s="16"/>
      <c r="AC73" s="16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</row>
    <row r="74" spans="1:44" x14ac:dyDescent="0.25">
      <c r="A74" s="41"/>
      <c r="B74" s="18"/>
      <c r="C74" s="41"/>
      <c r="D74" s="18"/>
      <c r="E74" s="41"/>
      <c r="F74" s="18"/>
      <c r="G74" s="41" t="s">
        <v>338</v>
      </c>
      <c r="H74" s="18" t="s">
        <v>2116</v>
      </c>
      <c r="I74" s="41" t="s">
        <v>2481</v>
      </c>
      <c r="J74" s="18" t="s">
        <v>2482</v>
      </c>
      <c r="K74" s="17"/>
      <c r="L74" s="18"/>
      <c r="M74" s="17"/>
      <c r="N74" s="18"/>
      <c r="O74" s="52"/>
      <c r="P74" s="18"/>
      <c r="Q74" s="52"/>
      <c r="R74" s="18"/>
      <c r="S74" s="18"/>
      <c r="T74" s="53"/>
      <c r="U74" s="47"/>
      <c r="V74" s="47"/>
      <c r="W74" s="47"/>
      <c r="X74" s="16"/>
      <c r="Y74" s="16"/>
      <c r="Z74" s="17"/>
      <c r="AA74" s="16"/>
      <c r="AB74" s="16"/>
      <c r="AC74" s="16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</row>
    <row r="75" spans="1:44" x14ac:dyDescent="0.25">
      <c r="A75" s="41"/>
      <c r="B75" s="18"/>
      <c r="C75" s="41"/>
      <c r="D75" s="18"/>
      <c r="E75" s="41"/>
      <c r="F75" s="18"/>
      <c r="G75" s="41" t="s">
        <v>2483</v>
      </c>
      <c r="H75" s="18" t="s">
        <v>2484</v>
      </c>
      <c r="I75" s="41" t="s">
        <v>2485</v>
      </c>
      <c r="J75" s="18" t="s">
        <v>2486</v>
      </c>
      <c r="K75" s="17"/>
      <c r="L75" s="18"/>
      <c r="M75" s="17"/>
      <c r="N75" s="18"/>
      <c r="O75" s="52"/>
      <c r="P75" s="18"/>
      <c r="Q75" s="52"/>
      <c r="R75" s="18"/>
      <c r="S75" s="18"/>
      <c r="T75" s="53"/>
      <c r="U75" s="47"/>
      <c r="V75" s="47"/>
      <c r="W75" s="47"/>
      <c r="X75" s="16"/>
      <c r="Y75" s="16"/>
      <c r="Z75" s="17"/>
      <c r="AA75" s="16"/>
      <c r="AB75" s="16"/>
      <c r="AC75" s="16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</row>
    <row r="76" spans="1:44" x14ac:dyDescent="0.25">
      <c r="A76" s="41"/>
      <c r="B76" s="18"/>
      <c r="C76" s="41"/>
      <c r="D76" s="18"/>
      <c r="E76" s="41"/>
      <c r="F76" s="18"/>
      <c r="G76" s="41" t="s">
        <v>2487</v>
      </c>
      <c r="H76" s="18" t="s">
        <v>2488</v>
      </c>
      <c r="I76" s="41" t="s">
        <v>2489</v>
      </c>
      <c r="J76" s="18" t="s">
        <v>2490</v>
      </c>
      <c r="K76" s="17"/>
      <c r="L76" s="18"/>
      <c r="M76" s="17"/>
      <c r="N76" s="18"/>
      <c r="O76" s="52"/>
      <c r="P76" s="18"/>
      <c r="Q76" s="52"/>
      <c r="R76" s="18"/>
      <c r="S76" s="18"/>
      <c r="T76" s="53"/>
      <c r="U76" s="47"/>
      <c r="V76" s="47"/>
      <c r="W76" s="47"/>
      <c r="X76" s="16"/>
      <c r="Y76" s="16"/>
      <c r="Z76" s="17"/>
      <c r="AA76" s="16"/>
      <c r="AB76" s="16"/>
      <c r="AC76" s="1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</row>
    <row r="77" spans="1:44" x14ac:dyDescent="0.25">
      <c r="A77" s="41"/>
      <c r="B77" s="18"/>
      <c r="C77" s="41"/>
      <c r="D77" s="18"/>
      <c r="E77" s="41"/>
      <c r="F77" s="18"/>
      <c r="G77" s="41" t="s">
        <v>2491</v>
      </c>
      <c r="H77" s="18" t="s">
        <v>2492</v>
      </c>
      <c r="I77" s="41" t="s">
        <v>2493</v>
      </c>
      <c r="J77" s="18" t="s">
        <v>2494</v>
      </c>
      <c r="K77" s="17"/>
      <c r="L77" s="18"/>
      <c r="M77" s="17"/>
      <c r="N77" s="18"/>
      <c r="O77" s="52"/>
      <c r="P77" s="18"/>
      <c r="Q77" s="52"/>
      <c r="R77" s="18"/>
      <c r="S77" s="18"/>
      <c r="T77" s="53"/>
      <c r="U77" s="47"/>
      <c r="V77" s="47"/>
      <c r="W77" s="47"/>
      <c r="X77" s="16"/>
      <c r="Y77" s="16"/>
      <c r="Z77" s="17"/>
      <c r="AA77" s="16"/>
      <c r="AB77" s="16"/>
      <c r="AC77" s="16"/>
    </row>
    <row r="78" spans="1:44" x14ac:dyDescent="0.25">
      <c r="A78" s="41"/>
      <c r="B78" s="18"/>
      <c r="C78" s="41"/>
      <c r="D78" s="18"/>
      <c r="E78" s="41"/>
      <c r="F78" s="18"/>
      <c r="G78" s="41" t="s">
        <v>2495</v>
      </c>
      <c r="H78" s="18" t="s">
        <v>2496</v>
      </c>
      <c r="I78" s="41" t="s">
        <v>2497</v>
      </c>
      <c r="J78" s="18" t="s">
        <v>2498</v>
      </c>
      <c r="K78" s="17"/>
      <c r="L78" s="18"/>
      <c r="M78" s="17"/>
      <c r="N78" s="18"/>
      <c r="O78" s="52"/>
      <c r="P78" s="18"/>
      <c r="Q78" s="52"/>
      <c r="R78" s="18"/>
      <c r="S78" s="18"/>
      <c r="T78" s="53"/>
      <c r="U78" s="47"/>
      <c r="V78" s="47"/>
      <c r="W78" s="47"/>
      <c r="X78" s="16"/>
      <c r="Y78" s="16"/>
      <c r="Z78" s="17"/>
      <c r="AA78" s="16"/>
      <c r="AB78" s="16"/>
      <c r="AC78" s="16"/>
    </row>
    <row r="79" spans="1:44" x14ac:dyDescent="0.25">
      <c r="A79" s="41"/>
      <c r="B79" s="18"/>
      <c r="C79" s="41"/>
      <c r="D79" s="18"/>
      <c r="E79" s="41"/>
      <c r="F79" s="18"/>
      <c r="G79" s="41" t="s">
        <v>2499</v>
      </c>
      <c r="H79" s="18" t="s">
        <v>2500</v>
      </c>
      <c r="I79" s="41" t="s">
        <v>2501</v>
      </c>
      <c r="J79" s="18" t="s">
        <v>2171</v>
      </c>
      <c r="K79" s="17"/>
      <c r="L79" s="18"/>
      <c r="M79" s="17"/>
      <c r="N79" s="18"/>
      <c r="O79" s="52"/>
      <c r="P79" s="18"/>
      <c r="Q79" s="52"/>
      <c r="R79" s="18"/>
      <c r="S79" s="18"/>
      <c r="T79" s="53"/>
      <c r="U79" s="47"/>
      <c r="V79" s="47"/>
      <c r="W79" s="47"/>
      <c r="X79" s="16"/>
      <c r="Y79" s="16"/>
      <c r="Z79" s="17"/>
      <c r="AA79" s="16"/>
      <c r="AB79" s="16"/>
      <c r="AC79" s="16"/>
    </row>
    <row r="80" spans="1:44" x14ac:dyDescent="0.25">
      <c r="A80" s="41"/>
      <c r="B80" s="18"/>
      <c r="C80" s="41"/>
      <c r="D80" s="18"/>
      <c r="E80" s="41"/>
      <c r="F80" s="18"/>
      <c r="G80" s="41" t="s">
        <v>79</v>
      </c>
      <c r="H80" s="18" t="s">
        <v>2502</v>
      </c>
      <c r="I80" s="41" t="s">
        <v>2503</v>
      </c>
      <c r="J80" s="18" t="s">
        <v>2504</v>
      </c>
      <c r="K80" s="17"/>
      <c r="L80" s="18"/>
      <c r="M80" s="17"/>
      <c r="N80" s="18"/>
      <c r="O80" s="52"/>
      <c r="P80" s="18"/>
      <c r="Q80" s="52"/>
      <c r="R80" s="18"/>
      <c r="S80" s="18"/>
      <c r="T80" s="53"/>
      <c r="U80" s="47"/>
      <c r="V80" s="47"/>
      <c r="W80" s="47"/>
      <c r="X80" s="16"/>
      <c r="Y80" s="16"/>
      <c r="Z80" s="17"/>
      <c r="AA80" s="16"/>
      <c r="AB80" s="16"/>
      <c r="AC80" s="16"/>
    </row>
    <row r="81" spans="1:29" x14ac:dyDescent="0.25">
      <c r="A81" s="41"/>
      <c r="B81" s="18"/>
      <c r="C81" s="41"/>
      <c r="D81" s="18"/>
      <c r="E81" s="41"/>
      <c r="F81" s="18"/>
      <c r="G81" s="41" t="s">
        <v>2505</v>
      </c>
      <c r="H81" s="18" t="s">
        <v>2506</v>
      </c>
      <c r="I81" s="41" t="s">
        <v>2507</v>
      </c>
      <c r="J81" s="18" t="s">
        <v>2508</v>
      </c>
      <c r="K81" s="17"/>
      <c r="L81" s="18"/>
      <c r="M81" s="17"/>
      <c r="N81" s="18"/>
      <c r="O81" s="52"/>
      <c r="P81" s="18"/>
      <c r="Q81" s="52"/>
      <c r="R81" s="18"/>
      <c r="S81" s="18"/>
      <c r="T81" s="53"/>
      <c r="U81" s="47"/>
      <c r="V81" s="47"/>
      <c r="W81" s="47"/>
      <c r="X81" s="16"/>
      <c r="Y81" s="16"/>
      <c r="Z81" s="17"/>
      <c r="AA81" s="16"/>
      <c r="AB81" s="16"/>
      <c r="AC81" s="16"/>
    </row>
    <row r="82" spans="1:29" x14ac:dyDescent="0.25">
      <c r="A82" s="41"/>
      <c r="B82" s="18"/>
      <c r="C82" s="41"/>
      <c r="D82" s="18"/>
      <c r="E82" s="41"/>
      <c r="F82" s="18"/>
      <c r="G82" s="41" t="s">
        <v>2509</v>
      </c>
      <c r="H82" s="18" t="s">
        <v>2510</v>
      </c>
      <c r="I82" s="41" t="s">
        <v>2511</v>
      </c>
      <c r="J82" s="18" t="s">
        <v>2512</v>
      </c>
      <c r="K82" s="17"/>
      <c r="L82" s="18"/>
      <c r="M82" s="17"/>
      <c r="N82" s="18"/>
      <c r="O82" s="52"/>
      <c r="P82" s="18"/>
      <c r="Q82" s="52"/>
      <c r="R82" s="18"/>
      <c r="S82" s="18"/>
      <c r="T82" s="53"/>
      <c r="U82" s="47"/>
      <c r="V82" s="47"/>
      <c r="W82" s="47"/>
      <c r="X82" s="16"/>
      <c r="Y82" s="16"/>
      <c r="Z82" s="17"/>
      <c r="AA82" s="16"/>
      <c r="AB82" s="16"/>
      <c r="AC82" s="16"/>
    </row>
    <row r="83" spans="1:29" x14ac:dyDescent="0.25">
      <c r="A83" s="41"/>
      <c r="B83" s="18"/>
      <c r="C83" s="41"/>
      <c r="D83" s="18"/>
      <c r="E83" s="41"/>
      <c r="F83" s="18"/>
      <c r="G83" s="41" t="s">
        <v>2513</v>
      </c>
      <c r="H83" s="18" t="s">
        <v>2514</v>
      </c>
      <c r="I83" s="41" t="s">
        <v>2515</v>
      </c>
      <c r="J83" s="18" t="s">
        <v>2516</v>
      </c>
      <c r="K83" s="17"/>
      <c r="L83" s="18"/>
      <c r="M83" s="17"/>
      <c r="N83" s="18"/>
      <c r="O83" s="52"/>
      <c r="P83" s="18"/>
      <c r="Q83" s="52"/>
      <c r="R83" s="18"/>
      <c r="S83" s="18"/>
      <c r="T83" s="53"/>
      <c r="U83" s="47"/>
      <c r="V83" s="47"/>
      <c r="W83" s="47"/>
      <c r="X83" s="16"/>
      <c r="Y83" s="16"/>
      <c r="Z83" s="17"/>
      <c r="AA83" s="16"/>
      <c r="AB83" s="16"/>
      <c r="AC83" s="16"/>
    </row>
    <row r="84" spans="1:29" x14ac:dyDescent="0.25">
      <c r="A84" s="41"/>
      <c r="B84" s="18"/>
      <c r="C84" s="41"/>
      <c r="D84" s="18"/>
      <c r="E84" s="41"/>
      <c r="F84" s="18"/>
      <c r="G84" s="41" t="s">
        <v>2517</v>
      </c>
      <c r="H84" s="18" t="s">
        <v>2518</v>
      </c>
      <c r="I84" s="41" t="s">
        <v>2519</v>
      </c>
      <c r="J84" s="18" t="s">
        <v>2520</v>
      </c>
      <c r="K84" s="17"/>
      <c r="L84" s="18"/>
      <c r="M84" s="17"/>
      <c r="N84" s="18"/>
      <c r="O84" s="52"/>
      <c r="P84" s="18"/>
      <c r="Q84" s="52"/>
      <c r="R84" s="18"/>
      <c r="S84" s="18"/>
      <c r="T84" s="53"/>
      <c r="U84" s="47"/>
      <c r="V84" s="47"/>
      <c r="W84" s="47"/>
      <c r="X84" s="16"/>
      <c r="Y84" s="16"/>
      <c r="Z84" s="17"/>
      <c r="AA84" s="16"/>
      <c r="AB84" s="16"/>
      <c r="AC84" s="16"/>
    </row>
    <row r="85" spans="1:29" x14ac:dyDescent="0.25">
      <c r="A85" s="41"/>
      <c r="B85" s="18"/>
      <c r="C85" s="41"/>
      <c r="D85" s="18"/>
      <c r="E85" s="41"/>
      <c r="F85" s="18"/>
      <c r="G85" s="41" t="s">
        <v>2521</v>
      </c>
      <c r="H85" s="18" t="s">
        <v>2522</v>
      </c>
      <c r="I85" s="41" t="s">
        <v>2523</v>
      </c>
      <c r="J85" s="18" t="s">
        <v>2524</v>
      </c>
      <c r="K85" s="17"/>
      <c r="L85" s="18"/>
      <c r="M85" s="17"/>
      <c r="N85" s="18"/>
      <c r="O85" s="52"/>
      <c r="P85" s="18"/>
      <c r="Q85" s="52"/>
      <c r="R85" s="18"/>
      <c r="S85" s="18"/>
      <c r="T85" s="53"/>
      <c r="U85" s="47"/>
      <c r="V85" s="47"/>
      <c r="W85" s="47"/>
      <c r="X85" s="16"/>
      <c r="Y85" s="16"/>
      <c r="Z85" s="17"/>
      <c r="AA85" s="16"/>
      <c r="AB85" s="16"/>
      <c r="AC85" s="16"/>
    </row>
    <row r="86" spans="1:29" x14ac:dyDescent="0.25">
      <c r="A86" s="41"/>
      <c r="B86" s="18"/>
      <c r="C86" s="41"/>
      <c r="D86" s="18"/>
      <c r="E86" s="41"/>
      <c r="F86" s="18"/>
      <c r="G86" s="41" t="s">
        <v>2501</v>
      </c>
      <c r="H86" s="18" t="s">
        <v>2525</v>
      </c>
      <c r="I86" s="41" t="s">
        <v>2526</v>
      </c>
      <c r="J86" s="18" t="s">
        <v>2527</v>
      </c>
      <c r="K86" s="17"/>
      <c r="L86" s="18"/>
      <c r="M86" s="17"/>
      <c r="N86" s="18"/>
      <c r="O86" s="52"/>
      <c r="P86" s="18"/>
      <c r="Q86" s="52"/>
      <c r="R86" s="18"/>
      <c r="S86" s="18"/>
      <c r="T86" s="53"/>
      <c r="U86" s="47"/>
      <c r="V86" s="47"/>
      <c r="W86" s="47"/>
      <c r="X86" s="16"/>
      <c r="Y86" s="16"/>
      <c r="Z86" s="17"/>
      <c r="AA86" s="16"/>
      <c r="AB86" s="16"/>
      <c r="AC86" s="16"/>
    </row>
    <row r="87" spans="1:29" x14ac:dyDescent="0.25">
      <c r="A87" s="41"/>
      <c r="B87" s="18"/>
      <c r="C87" s="41"/>
      <c r="D87" s="18"/>
      <c r="E87" s="41"/>
      <c r="F87" s="18"/>
      <c r="G87" s="41" t="s">
        <v>2528</v>
      </c>
      <c r="H87" s="18" t="s">
        <v>2529</v>
      </c>
      <c r="I87" s="41" t="s">
        <v>2530</v>
      </c>
      <c r="J87" s="18" t="s">
        <v>2531</v>
      </c>
      <c r="K87" s="17"/>
      <c r="L87" s="18"/>
      <c r="M87" s="17"/>
      <c r="N87" s="18"/>
      <c r="O87" s="52"/>
      <c r="P87" s="18"/>
      <c r="Q87" s="52"/>
      <c r="R87" s="18"/>
      <c r="S87" s="18"/>
      <c r="T87" s="53"/>
      <c r="U87" s="47"/>
      <c r="V87" s="47"/>
      <c r="W87" s="47"/>
      <c r="X87" s="16"/>
      <c r="Y87" s="16"/>
      <c r="Z87" s="17"/>
      <c r="AA87" s="16"/>
      <c r="AB87" s="16"/>
      <c r="AC87" s="16"/>
    </row>
    <row r="88" spans="1:29" x14ac:dyDescent="0.25">
      <c r="A88" s="41"/>
      <c r="B88" s="18"/>
      <c r="C88" s="41"/>
      <c r="D88" s="18"/>
      <c r="E88" s="41"/>
      <c r="F88" s="18"/>
      <c r="G88" s="41" t="s">
        <v>2532</v>
      </c>
      <c r="H88" s="18" t="s">
        <v>2533</v>
      </c>
      <c r="I88" s="41" t="s">
        <v>2534</v>
      </c>
      <c r="J88" s="18" t="s">
        <v>2535</v>
      </c>
      <c r="K88" s="17"/>
      <c r="L88" s="18"/>
      <c r="M88" s="17"/>
      <c r="N88" s="18"/>
      <c r="O88" s="52"/>
      <c r="P88" s="18"/>
      <c r="Q88" s="52"/>
      <c r="R88" s="18"/>
      <c r="S88" s="18"/>
      <c r="T88" s="53"/>
      <c r="U88" s="47"/>
      <c r="V88" s="47"/>
      <c r="W88" s="47"/>
      <c r="X88" s="16"/>
      <c r="Y88" s="16"/>
      <c r="Z88" s="17"/>
      <c r="AA88" s="16"/>
      <c r="AB88" s="16"/>
      <c r="AC88" s="16"/>
    </row>
    <row r="89" spans="1:29" x14ac:dyDescent="0.25">
      <c r="A89" s="41"/>
      <c r="B89" s="18"/>
      <c r="C89" s="41"/>
      <c r="D89" s="18"/>
      <c r="E89" s="41"/>
      <c r="F89" s="18"/>
      <c r="G89" s="41" t="s">
        <v>2536</v>
      </c>
      <c r="H89" s="18" t="s">
        <v>2537</v>
      </c>
      <c r="I89" s="41" t="s">
        <v>2538</v>
      </c>
      <c r="J89" s="18" t="s">
        <v>1009</v>
      </c>
      <c r="K89" s="17"/>
      <c r="L89" s="18"/>
      <c r="M89" s="17"/>
      <c r="N89" s="18"/>
      <c r="O89" s="52"/>
      <c r="P89" s="18"/>
      <c r="Q89" s="52"/>
      <c r="R89" s="18"/>
      <c r="S89" s="18"/>
      <c r="T89" s="53"/>
      <c r="U89" s="47"/>
      <c r="V89" s="47"/>
      <c r="W89" s="47"/>
      <c r="X89" s="16"/>
      <c r="Y89" s="16"/>
      <c r="Z89" s="17"/>
      <c r="AA89" s="16"/>
      <c r="AB89" s="16"/>
      <c r="AC89" s="16"/>
    </row>
    <row r="90" spans="1:29" x14ac:dyDescent="0.25">
      <c r="A90" s="41"/>
      <c r="B90" s="18"/>
      <c r="C90" s="41"/>
      <c r="D90" s="18"/>
      <c r="E90" s="41"/>
      <c r="F90" s="18"/>
      <c r="G90" s="41" t="s">
        <v>2539</v>
      </c>
      <c r="H90" s="18" t="s">
        <v>2540</v>
      </c>
      <c r="I90" s="41" t="s">
        <v>2541</v>
      </c>
      <c r="J90" s="18" t="s">
        <v>2542</v>
      </c>
      <c r="K90" s="17"/>
      <c r="L90" s="18"/>
      <c r="M90" s="17"/>
      <c r="N90" s="18"/>
      <c r="O90" s="52"/>
      <c r="P90" s="18"/>
      <c r="Q90" s="52"/>
      <c r="R90" s="18"/>
      <c r="S90" s="18"/>
      <c r="T90" s="53"/>
      <c r="U90" s="47"/>
      <c r="V90" s="47"/>
      <c r="W90" s="47"/>
      <c r="X90" s="16"/>
      <c r="Y90" s="16"/>
      <c r="Z90" s="17"/>
      <c r="AA90" s="16"/>
      <c r="AB90" s="16"/>
      <c r="AC90" s="16"/>
    </row>
    <row r="91" spans="1:29" x14ac:dyDescent="0.25">
      <c r="A91" s="41"/>
      <c r="B91" s="18"/>
      <c r="C91" s="41"/>
      <c r="D91" s="18"/>
      <c r="E91" s="41"/>
      <c r="F91" s="18"/>
      <c r="G91" s="41" t="s">
        <v>2543</v>
      </c>
      <c r="H91" s="18" t="s">
        <v>2544</v>
      </c>
      <c r="I91" s="41" t="s">
        <v>2545</v>
      </c>
      <c r="J91" s="18" t="s">
        <v>2546</v>
      </c>
      <c r="K91" s="17"/>
      <c r="L91" s="18"/>
      <c r="M91" s="17"/>
      <c r="N91" s="18"/>
      <c r="O91" s="52"/>
      <c r="P91" s="18"/>
      <c r="Q91" s="52"/>
      <c r="R91" s="18"/>
      <c r="S91" s="18"/>
      <c r="T91" s="53"/>
      <c r="U91" s="47"/>
      <c r="V91" s="47"/>
      <c r="W91" s="47"/>
      <c r="X91" s="16"/>
      <c r="Y91" s="16"/>
      <c r="Z91" s="17"/>
      <c r="AA91" s="16"/>
      <c r="AB91" s="16"/>
      <c r="AC91" s="16"/>
    </row>
    <row r="92" spans="1:29" x14ac:dyDescent="0.25">
      <c r="A92" s="41"/>
      <c r="B92" s="18"/>
      <c r="C92" s="41"/>
      <c r="D92" s="18"/>
      <c r="E92" s="41"/>
      <c r="F92" s="18"/>
      <c r="G92" s="41" t="s">
        <v>2547</v>
      </c>
      <c r="H92" s="18" t="s">
        <v>2548</v>
      </c>
      <c r="I92" s="41" t="s">
        <v>2549</v>
      </c>
      <c r="J92" s="18" t="s">
        <v>2550</v>
      </c>
      <c r="K92" s="17"/>
      <c r="L92" s="18"/>
      <c r="M92" s="17"/>
      <c r="N92" s="18"/>
      <c r="O92" s="52"/>
      <c r="P92" s="18"/>
      <c r="Q92" s="52"/>
      <c r="R92" s="18"/>
      <c r="S92" s="18"/>
      <c r="T92" s="53"/>
      <c r="U92" s="47"/>
      <c r="V92" s="47"/>
      <c r="W92" s="47"/>
      <c r="X92" s="16"/>
      <c r="Y92" s="16"/>
      <c r="Z92" s="17"/>
      <c r="AA92" s="16"/>
      <c r="AB92" s="16"/>
      <c r="AC92" s="16"/>
    </row>
    <row r="93" spans="1:29" x14ac:dyDescent="0.25">
      <c r="A93" s="41"/>
      <c r="B93" s="18"/>
      <c r="C93" s="41"/>
      <c r="D93" s="18"/>
      <c r="E93" s="41"/>
      <c r="F93" s="18"/>
      <c r="G93" s="41" t="s">
        <v>2551</v>
      </c>
      <c r="H93" s="18" t="s">
        <v>2552</v>
      </c>
      <c r="I93" s="41" t="s">
        <v>2553</v>
      </c>
      <c r="J93" s="18" t="s">
        <v>2554</v>
      </c>
      <c r="K93" s="17"/>
      <c r="L93" s="18"/>
      <c r="M93" s="17"/>
      <c r="N93" s="18"/>
      <c r="O93" s="52"/>
      <c r="P93" s="18"/>
      <c r="Q93" s="52"/>
      <c r="R93" s="18"/>
      <c r="S93" s="18"/>
      <c r="T93" s="53"/>
      <c r="U93" s="47"/>
      <c r="V93" s="47"/>
      <c r="W93" s="47"/>
      <c r="X93" s="16"/>
      <c r="Y93" s="16"/>
      <c r="Z93" s="17"/>
      <c r="AA93" s="16"/>
      <c r="AB93" s="16"/>
      <c r="AC93" s="16"/>
    </row>
    <row r="94" spans="1:29" x14ac:dyDescent="0.25">
      <c r="A94" s="41"/>
      <c r="B94" s="18"/>
      <c r="C94" s="41"/>
      <c r="D94" s="18"/>
      <c r="E94" s="41"/>
      <c r="F94" s="18"/>
      <c r="G94" s="41" t="s">
        <v>2555</v>
      </c>
      <c r="H94" s="18" t="s">
        <v>2556</v>
      </c>
      <c r="I94" s="41" t="s">
        <v>2287</v>
      </c>
      <c r="J94" s="18" t="s">
        <v>1289</v>
      </c>
      <c r="K94" s="17"/>
      <c r="L94" s="18"/>
      <c r="M94" s="17"/>
      <c r="N94" s="18"/>
      <c r="O94" s="52"/>
      <c r="P94" s="18"/>
      <c r="Q94" s="52"/>
      <c r="R94" s="18"/>
      <c r="S94" s="18"/>
      <c r="T94" s="53"/>
      <c r="U94" s="47"/>
      <c r="V94" s="47"/>
      <c r="W94" s="47"/>
      <c r="X94" s="16"/>
      <c r="Y94" s="16"/>
      <c r="Z94" s="17"/>
      <c r="AA94" s="16"/>
      <c r="AB94" s="16"/>
      <c r="AC94" s="16"/>
    </row>
    <row r="95" spans="1:29" x14ac:dyDescent="0.25">
      <c r="A95" s="41"/>
      <c r="B95" s="18"/>
      <c r="C95" s="41"/>
      <c r="D95" s="18"/>
      <c r="E95" s="41"/>
      <c r="F95" s="18"/>
      <c r="G95" s="41" t="s">
        <v>2557</v>
      </c>
      <c r="H95" s="18" t="s">
        <v>2558</v>
      </c>
      <c r="I95" s="41" t="s">
        <v>2559</v>
      </c>
      <c r="J95" s="18" t="s">
        <v>2560</v>
      </c>
      <c r="K95" s="17"/>
      <c r="L95" s="18"/>
      <c r="M95" s="17"/>
      <c r="N95" s="18"/>
      <c r="O95" s="52"/>
      <c r="P95" s="18"/>
      <c r="Q95" s="52"/>
      <c r="R95" s="18"/>
      <c r="S95" s="18"/>
      <c r="T95" s="53"/>
      <c r="U95" s="47"/>
      <c r="V95" s="47"/>
      <c r="W95" s="47"/>
      <c r="X95" s="16"/>
      <c r="Y95" s="16"/>
      <c r="Z95" s="17"/>
      <c r="AA95" s="16"/>
      <c r="AB95" s="16"/>
      <c r="AC95" s="16"/>
    </row>
    <row r="96" spans="1:29" x14ac:dyDescent="0.25">
      <c r="A96" s="41"/>
      <c r="B96" s="18"/>
      <c r="C96" s="41"/>
      <c r="D96" s="18"/>
      <c r="E96" s="41"/>
      <c r="F96" s="18"/>
      <c r="G96" s="41" t="s">
        <v>2561</v>
      </c>
      <c r="H96" s="18" t="s">
        <v>2562</v>
      </c>
      <c r="I96" s="41" t="s">
        <v>2563</v>
      </c>
      <c r="J96" s="18" t="s">
        <v>2564</v>
      </c>
      <c r="K96" s="17"/>
      <c r="L96" s="18"/>
      <c r="M96" s="17"/>
      <c r="N96" s="18"/>
      <c r="O96" s="52"/>
      <c r="P96" s="18"/>
      <c r="Q96" s="52"/>
      <c r="R96" s="18"/>
      <c r="S96" s="18"/>
      <c r="T96" s="53"/>
      <c r="U96" s="47"/>
      <c r="V96" s="47"/>
      <c r="W96" s="47"/>
      <c r="X96" s="16"/>
      <c r="Y96" s="16"/>
      <c r="Z96" s="17"/>
      <c r="AA96" s="16"/>
      <c r="AB96" s="16"/>
      <c r="AC96" s="16"/>
    </row>
    <row r="97" spans="1:29" x14ac:dyDescent="0.25">
      <c r="A97" s="41"/>
      <c r="B97" s="18"/>
      <c r="C97" s="41"/>
      <c r="D97" s="18"/>
      <c r="E97" s="41"/>
      <c r="F97" s="18"/>
      <c r="G97" s="41" t="s">
        <v>2565</v>
      </c>
      <c r="H97" s="18" t="s">
        <v>2566</v>
      </c>
      <c r="I97" s="41" t="s">
        <v>2567</v>
      </c>
      <c r="J97" s="18" t="s">
        <v>2568</v>
      </c>
      <c r="K97" s="17"/>
      <c r="L97" s="18"/>
      <c r="M97" s="17"/>
      <c r="N97" s="18"/>
      <c r="O97" s="52"/>
      <c r="P97" s="18"/>
      <c r="Q97" s="52"/>
      <c r="R97" s="18"/>
      <c r="S97" s="18"/>
      <c r="T97" s="53"/>
      <c r="U97" s="47"/>
      <c r="V97" s="47"/>
      <c r="W97" s="47"/>
      <c r="X97" s="16"/>
      <c r="Y97" s="16"/>
      <c r="Z97" s="17"/>
      <c r="AA97" s="16"/>
      <c r="AB97" s="16"/>
      <c r="AC97" s="16"/>
    </row>
    <row r="98" spans="1:29" x14ac:dyDescent="0.25">
      <c r="A98" s="41"/>
      <c r="B98" s="18"/>
      <c r="C98" s="41"/>
      <c r="D98" s="18"/>
      <c r="E98" s="41"/>
      <c r="F98" s="18"/>
      <c r="G98" s="41" t="s">
        <v>2569</v>
      </c>
      <c r="H98" s="18" t="s">
        <v>2570</v>
      </c>
      <c r="I98" s="41" t="s">
        <v>2571</v>
      </c>
      <c r="J98" s="18" t="s">
        <v>2572</v>
      </c>
      <c r="K98" s="17"/>
      <c r="L98" s="18"/>
      <c r="M98" s="17"/>
      <c r="N98" s="18"/>
      <c r="O98" s="52"/>
      <c r="P98" s="18"/>
      <c r="Q98" s="52"/>
      <c r="R98" s="18"/>
      <c r="S98" s="18"/>
      <c r="T98" s="53"/>
      <c r="U98" s="47"/>
      <c r="V98" s="47"/>
      <c r="W98" s="47"/>
      <c r="X98" s="16"/>
      <c r="Y98" s="16"/>
      <c r="Z98" s="17"/>
      <c r="AA98" s="16"/>
      <c r="AB98" s="16"/>
      <c r="AC98" s="16"/>
    </row>
    <row r="99" spans="1:29" x14ac:dyDescent="0.25">
      <c r="A99" s="41"/>
      <c r="B99" s="18"/>
      <c r="C99" s="41"/>
      <c r="D99" s="18"/>
      <c r="E99" s="41"/>
      <c r="F99" s="18"/>
      <c r="G99" s="41" t="s">
        <v>2573</v>
      </c>
      <c r="H99" s="18" t="s">
        <v>2574</v>
      </c>
      <c r="I99" s="41" t="s">
        <v>2575</v>
      </c>
      <c r="J99" s="18" t="s">
        <v>2576</v>
      </c>
      <c r="K99" s="17"/>
      <c r="L99" s="18"/>
      <c r="M99" s="17"/>
      <c r="N99" s="18"/>
      <c r="O99" s="52"/>
      <c r="P99" s="18"/>
      <c r="Q99" s="52"/>
      <c r="R99" s="18"/>
      <c r="S99" s="18"/>
      <c r="T99" s="53"/>
      <c r="U99" s="47"/>
      <c r="V99" s="47"/>
      <c r="W99" s="47"/>
      <c r="X99" s="16"/>
      <c r="Y99" s="16"/>
      <c r="Z99" s="17"/>
      <c r="AA99" s="16"/>
      <c r="AB99" s="16"/>
      <c r="AC99" s="16"/>
    </row>
    <row r="100" spans="1:29" x14ac:dyDescent="0.25">
      <c r="A100" s="41"/>
      <c r="B100" s="18"/>
      <c r="C100" s="41"/>
      <c r="D100" s="18"/>
      <c r="E100" s="41"/>
      <c r="F100" s="18"/>
      <c r="G100" s="41"/>
      <c r="H100" s="18"/>
      <c r="I100" s="41" t="s">
        <v>2577</v>
      </c>
      <c r="J100" s="18" t="s">
        <v>2578</v>
      </c>
      <c r="K100" s="17"/>
      <c r="L100" s="18"/>
      <c r="M100" s="17"/>
      <c r="N100" s="18"/>
      <c r="O100" s="52"/>
      <c r="P100" s="18"/>
      <c r="Q100" s="52"/>
      <c r="R100" s="18"/>
      <c r="S100" s="18"/>
      <c r="T100" s="53"/>
      <c r="U100" s="47"/>
      <c r="V100" s="47"/>
      <c r="W100" s="47"/>
      <c r="X100" s="16"/>
      <c r="Y100" s="16"/>
      <c r="Z100" s="17"/>
      <c r="AA100" s="16"/>
      <c r="AB100" s="16"/>
      <c r="AC100" s="16"/>
    </row>
    <row r="101" spans="1:29" x14ac:dyDescent="0.25">
      <c r="A101" s="41"/>
      <c r="B101" s="18"/>
      <c r="C101" s="41"/>
      <c r="D101" s="18"/>
      <c r="E101" s="41"/>
      <c r="F101" s="18"/>
      <c r="G101" s="41"/>
      <c r="H101" s="18"/>
      <c r="I101" s="41" t="s">
        <v>2579</v>
      </c>
      <c r="J101" s="18" t="s">
        <v>2580</v>
      </c>
      <c r="K101" s="17"/>
      <c r="L101" s="18"/>
      <c r="M101" s="17"/>
      <c r="N101" s="18"/>
      <c r="O101" s="52"/>
      <c r="P101" s="18"/>
      <c r="Q101" s="52"/>
      <c r="R101" s="18"/>
      <c r="S101" s="18"/>
      <c r="T101" s="53"/>
      <c r="U101" s="47"/>
      <c r="V101" s="47"/>
      <c r="W101" s="47"/>
      <c r="X101" s="16"/>
      <c r="Y101" s="16"/>
      <c r="Z101" s="17"/>
      <c r="AA101" s="16"/>
      <c r="AB101" s="16"/>
      <c r="AC101" s="16"/>
    </row>
    <row r="102" spans="1:29" x14ac:dyDescent="0.25">
      <c r="A102" s="41"/>
      <c r="B102" s="18"/>
      <c r="C102" s="41"/>
      <c r="D102" s="18"/>
      <c r="E102" s="41"/>
      <c r="F102" s="18"/>
      <c r="G102" s="41"/>
      <c r="H102" s="18"/>
      <c r="I102" s="41" t="s">
        <v>2585</v>
      </c>
      <c r="J102" s="18" t="s">
        <v>1053</v>
      </c>
      <c r="K102" s="17"/>
      <c r="L102" s="18"/>
      <c r="M102" s="17"/>
      <c r="N102" s="18"/>
      <c r="O102" s="52"/>
      <c r="P102" s="18"/>
      <c r="Q102" s="52"/>
      <c r="R102" s="18"/>
      <c r="S102" s="18"/>
      <c r="T102" s="53"/>
      <c r="U102" s="47"/>
      <c r="V102" s="47"/>
      <c r="W102" s="47"/>
      <c r="X102" s="16"/>
      <c r="Y102" s="16"/>
      <c r="Z102" s="17"/>
      <c r="AA102" s="16"/>
      <c r="AB102" s="16"/>
      <c r="AC102" s="16"/>
    </row>
    <row r="103" spans="1:29" x14ac:dyDescent="0.25">
      <c r="A103" s="67"/>
      <c r="B103" s="69"/>
      <c r="C103" s="67"/>
      <c r="D103" s="69"/>
      <c r="E103" s="67"/>
      <c r="F103" s="69"/>
      <c r="G103" s="67"/>
      <c r="H103" s="69"/>
      <c r="I103" s="67" t="s">
        <v>2586</v>
      </c>
      <c r="J103" s="69" t="s">
        <v>2587</v>
      </c>
      <c r="K103" s="71"/>
      <c r="L103" s="69"/>
      <c r="M103" s="71"/>
      <c r="N103" s="69"/>
      <c r="O103" s="72"/>
      <c r="P103" s="69"/>
      <c r="Q103" s="72"/>
      <c r="R103" s="69"/>
      <c r="S103" s="69"/>
      <c r="T103" s="74"/>
      <c r="U103" s="76"/>
      <c r="V103" s="76"/>
      <c r="W103" s="76"/>
      <c r="X103" s="78"/>
      <c r="Y103" s="78"/>
      <c r="Z103" s="71"/>
      <c r="AA103" s="78"/>
      <c r="AB103" s="78"/>
      <c r="AC103" s="78"/>
    </row>
  </sheetData>
  <mergeCells count="14">
    <mergeCell ref="A3:S3"/>
    <mergeCell ref="T3:X3"/>
    <mergeCell ref="D1:F1"/>
    <mergeCell ref="A4:B4"/>
    <mergeCell ref="C4:D4"/>
    <mergeCell ref="E4:F4"/>
    <mergeCell ref="G4:H4"/>
    <mergeCell ref="I4:J4"/>
    <mergeCell ref="Y4:AC4"/>
    <mergeCell ref="K4:L4"/>
    <mergeCell ref="M4:N4"/>
    <mergeCell ref="O4:S4"/>
    <mergeCell ref="T4:V4"/>
    <mergeCell ref="W4:X4"/>
  </mergeCells>
  <phoneticPr fontId="8" type="noConversion"/>
  <conditionalFormatting sqref="B1">
    <cfRule type="duplicateValues" dxfId="0" priority="1"/>
  </conditionalFormatting>
  <printOptions horizontalCentered="1"/>
  <pageMargins left="0.7" right="0.7" top="0.75" bottom="0.75" header="0.3" footer="0.3"/>
  <pageSetup paperSize="9" orientation="portrait" r:id="rId1"/>
  <headerFooter>
    <oddFooter>&amp;L&amp;"Calibri"&amp;12&amp;K0084FF Classification | Internal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��
</file>

<file path=customXml/item2.xml><?xml version="1.0" encoding="utf-8"?>
<Klassify>
  <SNO>1</SNO>
  <KDate>2025-04-20 10:58:52</KDate>
  <Classification>Internal</Classification>
  <Subclassification/>
  <HostName>L082647</HostName>
  <Domain_User>NESMA-PDC/wajdis</Domain_User>
  <IPAdd>192.168.114.136</IPAdd>
  <FilePath>Book1</FilePath>
  <KID>04BF1BBC5FD3638807435325470510</KID>
  <UniqueName/>
  <Suggested/>
  <Justification/>
</Klassify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4973806BF8EC4C9B4CDCF626A11B45" ma:contentTypeVersion="3" ma:contentTypeDescription="Create a new document." ma:contentTypeScope="" ma:versionID="0d69148046f843793f14b2b3ee5fd297">
  <xsd:schema xmlns:xsd="http://www.w3.org/2001/XMLSchema" xmlns:xs="http://www.w3.org/2001/XMLSchema" xmlns:p="http://schemas.microsoft.com/office/2006/metadata/properties" xmlns:ns2="79f64c95-19c5-4f9f-a557-b147f568cf12" targetNamespace="http://schemas.microsoft.com/office/2006/metadata/properties" ma:root="true" ma:fieldsID="665389f43b71dda23e5634da8d26c4c4" ns2:_="">
    <xsd:import namespace="79f64c95-19c5-4f9f-a557-b147f568cf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f64c95-19c5-4f9f-a557-b147f568cf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CD354A3-2217-4921-B279-F7A5F2E724D4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F58D5B78-A0B1-4C03-995C-2D7A485F45F5}">
  <ds:schemaRefs/>
</ds:datastoreItem>
</file>

<file path=customXml/itemProps3.xml><?xml version="1.0" encoding="utf-8"?>
<ds:datastoreItem xmlns:ds="http://schemas.openxmlformats.org/officeDocument/2006/customXml" ds:itemID="{21CFBC80-91D3-4866-AB15-460F004E51FB}">
  <ds:schemaRefs>
    <ds:schemaRef ds:uri="http://purl.org/dc/elements/1.1/"/>
    <ds:schemaRef ds:uri="http://purl.org/dc/terms/"/>
    <ds:schemaRef ds:uri="http://schemas.microsoft.com/office/2006/documentManagement/types"/>
    <ds:schemaRef ds:uri="http://purl.org/dc/dcmitype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79f64c95-19c5-4f9f-a557-b147f568cf12"/>
    <ds:schemaRef ds:uri="http://schemas.microsoft.com/office/2006/metadata/properties"/>
  </ds:schemaRefs>
</ds:datastoreItem>
</file>

<file path=customXml/itemProps4.xml><?xml version="1.0" encoding="utf-8"?>
<ds:datastoreItem xmlns:ds="http://schemas.openxmlformats.org/officeDocument/2006/customXml" ds:itemID="{4D138843-D564-4293-B79B-32CBA72FA5A5}">
  <ds:schemaRefs>
    <ds:schemaRef ds:uri="http://schemas.microsoft.com/sharepoint/v3/contenttype/forms"/>
  </ds:schemaRefs>
</ds:datastoreItem>
</file>

<file path=customXml/itemProps5.xml><?xml version="1.0" encoding="utf-8"?>
<ds:datastoreItem xmlns:ds="http://schemas.openxmlformats.org/officeDocument/2006/customXml" ds:itemID="{4A8A8576-C3C8-43E0-97C4-B57E4CFD80A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f64c95-19c5-4f9f-a557-b147f568cf1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TIDP_Sheet</vt:lpstr>
      <vt:lpstr>Baseline</vt:lpstr>
      <vt:lpstr>Picklists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ahmed.adel@nesmapartners.com</dc:creator>
  <cp:keywords/>
  <dc:description/>
  <cp:lastModifiedBy>Fadi Bader</cp:lastModifiedBy>
  <cp:revision/>
  <dcterms:created xsi:type="dcterms:W3CDTF">2025-04-20T06:20:16Z</dcterms:created>
  <dcterms:modified xsi:type="dcterms:W3CDTF">2026-08-24T05:36:33Z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2025-04-20T07:58:49Z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3fff59a6-2d6d-4994-bba2-8c751e26f72f</vt:lpwstr>
  </property>
  <property fmtid="{D5CDD505-2E9C-101B-9397-08002B2CF9AE}" pid="7" name="MSIP_Label_defa4170-0d19-0005-0004-bc88714345d2_ActionId">
    <vt:lpwstr>8bda8d55-75d0-4ec6-aa23-312fad535dfd</vt:lpwstr>
  </property>
  <property fmtid="{D5CDD505-2E9C-101B-9397-08002B2CF9AE}" pid="8" name="MSIP_Label_defa4170-0d19-0005-0004-bc88714345d2_ContentBits">
    <vt:lpwstr>0</vt:lpwstr>
  </property>
  <property fmtid="{D5CDD505-2E9C-101B-9397-08002B2CF9AE}" pid="9" name="Classification">
    <vt:lpwstr>Internal</vt:lpwstr>
  </property>
  <property fmtid="{D5CDD505-2E9C-101B-9397-08002B2CF9AE}" pid="10" name="Rules">
    <vt:lpwstr/>
  </property>
  <property fmtid="{D5CDD505-2E9C-101B-9397-08002B2CF9AE}" pid="11" name="KID">
    <vt:lpwstr>04BF1BBC5FD3638807435325470510</vt:lpwstr>
  </property>
  <property fmtid="{D5CDD505-2E9C-101B-9397-08002B2CF9AE}" pid="12" name="ContentTypeId">
    <vt:lpwstr>0x010100984973806BF8EC4C9B4CDCF626A11B45</vt:lpwstr>
  </property>
  <property fmtid="{D5CDD505-2E9C-101B-9397-08002B2CF9AE}" pid="13" name="MediaServiceImageTags">
    <vt:lpwstr/>
  </property>
</Properties>
</file>